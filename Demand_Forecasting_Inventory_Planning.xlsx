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ReadMe" sheetId="1" state="visible" r:id="rId3"/>
    <sheet name="01_Data_Cleaning_Log" sheetId="2" state="visible" r:id="rId4"/>
    <sheet name="02_SKU_Master" sheetId="3" state="visible" r:id="rId5"/>
    <sheet name="03_ABC_XYZ" sheetId="4" state="visible" r:id="rId6"/>
    <sheet name="04_Forecast_Accuracy" sheetId="5" state="visible" r:id="rId7"/>
    <sheet name="05_Assumptions" sheetId="6" state="visible" r:id="rId8"/>
    <sheet name="06_Inventory_Planning" sheetId="7" state="visible" r:id="rId9"/>
    <sheet name="07_Dashboard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<sst xmlns="http://schemas.openxmlformats.org/spreadsheetml/2006/main" count="1294" uniqueCount="318">
  <si>
    <t xml:space="preserve">Demand Forecasting &amp; Inventory Planning Analytics</t>
  </si>
  <si>
    <t xml:space="preserve">SQL + Excel end-to-end planning workbook | Built for Assistant Manager - Planning portfolio</t>
  </si>
  <si>
    <t xml:space="preserve">DATA SOURCE</t>
  </si>
  <si>
    <t xml:space="preserve">Dataset</t>
  </si>
  <si>
    <t xml:space="preserve">Retail Store Inventory &amp; Demand Forecasting (Kaggle, synthetic-but-structured retail dataset)</t>
  </si>
  <si>
    <t xml:space="preserve">Source URL</t>
  </si>
  <si>
    <t xml:space="preserve">kaggle.com/datasets/atomicd/retail-store-inventory-and-demand-forecasting</t>
  </si>
  <si>
    <t xml:space="preserve">Rows (raw)</t>
  </si>
  <si>
    <t xml:space="preserve">73,100 daily records</t>
  </si>
  <si>
    <t xml:space="preserve">Grain</t>
  </si>
  <si>
    <t xml:space="preserve">5 Stores x 20 Products x 731 days (2022-01-01 to 2024-01-01)</t>
  </si>
  <si>
    <t xml:space="preserve">Note on authenticity</t>
  </si>
  <si>
    <t xml:space="preserve">Labeled 'synthetic' by the source, generated to mimic real retail patterns. Treated as real-world-structured data; all findings below are computed from it, not invented.</t>
  </si>
  <si>
    <t xml:space="preserve">PIPELINE (what was actually built)</t>
  </si>
  <si>
    <t xml:space="preserve">Step 1</t>
  </si>
  <si>
    <t xml:space="preserve">Raw CSV loaded into SQLite via Python's sqlite3 (real SQL engine, not pandas math)</t>
  </si>
  <si>
    <t xml:space="preserve">Step 2</t>
  </si>
  <si>
    <t xml:space="preserve">SQL data-cleaning &amp; QA queries run -&gt; see 01_Data_Cleaning_Log</t>
  </si>
  <si>
    <t xml:space="preserve">Step 3</t>
  </si>
  <si>
    <t xml:space="preserve">SQL aggregation built the analytical layer (SKU-level stats, monthly time series) -&gt; 02_SKU_Master</t>
  </si>
  <si>
    <t xml:space="preserve">Step 4</t>
  </si>
  <si>
    <t xml:space="preserve">ABC-XYZ classification computed from that SQL output -&gt; 03_ABC_XYZ</t>
  </si>
  <si>
    <t xml:space="preserve">Step 5</t>
  </si>
  <si>
    <t xml:space="preserve">Forecast accuracy back-tested (Naive vs 3-mo MA vs 6-mo MA) on real holdout months -&gt; 04_Forecast_Accuracy</t>
  </si>
  <si>
    <t xml:space="preserve">Step 6</t>
  </si>
  <si>
    <t xml:space="preserve">Inventory planning (Safety Stock, ROP, EOQ, stockout/overstock risk) computed with LIVE Excel formulas -&gt; 05_Inventory_Planning</t>
  </si>
  <si>
    <t xml:space="preserve">Step 7</t>
  </si>
  <si>
    <t xml:space="preserve">Executive summary -&gt; 06_Dashboard</t>
  </si>
  <si>
    <t xml:space="preserve">Step 8</t>
  </si>
  <si>
    <t xml:space="preserve">All assumptions (lead time, service level, cost params) isolated and documented -&gt; 07_Assumptions</t>
  </si>
  <si>
    <t xml:space="preserve">IMPORTANT DATA-QUALITY FINDING (from SQL cleaning)</t>
  </si>
  <si>
    <t xml:space="preserve">Issue</t>
  </si>
  <si>
    <t xml:space="preserve">'Product ID' alone is NOT a stable SKU key - the same Product ID appears under all 5 Category labels inconsistently across store-days (confirmed via SQL GROUP BY).</t>
  </si>
  <si>
    <t xml:space="preserve">Fix applied</t>
  </si>
  <si>
    <t xml:space="preserve">Redefined SKU = Store ID + Product ID (100 SKUs), which IS a clean, consistent grain (exactly 731 rows each, zero duplicates). Category is shown for readability only (assigned via most-frequent value per SKU) - do not treat it as a hard product attribute in this dataset.</t>
  </si>
  <si>
    <t xml:space="preserve">Why this matters for interviews</t>
  </si>
  <si>
    <t xml:space="preserve">This is a genuine data-integrity catch, not a cosmetic one - it changes what the 'SKU' even means. Exactly the kind of judgment call a planning analyst has to make and defend.</t>
  </si>
  <si>
    <t xml:space="preserve">HOW TO READ THIS WORKBOOK</t>
  </si>
  <si>
    <t xml:space="preserve">Blue text</t>
  </si>
  <si>
    <t xml:space="preserve">means hardcoded input / assumption you can change</t>
  </si>
  <si>
    <t xml:space="preserve">Black text</t>
  </si>
  <si>
    <t xml:space="preserve">means live formula (recalculates automatically)</t>
  </si>
  <si>
    <t xml:space="preserve">Yellow fill</t>
  </si>
  <si>
    <t xml:space="preserve">means assumption cells - change these to re-run every downstream calculation</t>
  </si>
  <si>
    <t xml:space="preserve">Sheet order</t>
  </si>
  <si>
    <t xml:space="preserve">Read tabs left to right in numeric order - each builds on the previous one</t>
  </si>
  <si>
    <t xml:space="preserve">SQL Data Cleaning &amp; QA Log</t>
  </si>
  <si>
    <t xml:space="preserve">Every check run against raw_sales (73,100 rows) in SQLite before any analysis</t>
  </si>
  <si>
    <t xml:space="preserve">Check</t>
  </si>
  <si>
    <t xml:space="preserve">SQL Logic (summarized)</t>
  </si>
  <si>
    <t xml:space="preserve">Rows Failing</t>
  </si>
  <si>
    <t xml:space="preserve">Decision / Interpretation</t>
  </si>
  <si>
    <t xml:space="preserve">Duplicate rows</t>
  </si>
  <si>
    <t xml:space="preserve">GROUP BY Date, Store ID, Product ID HAVING COUNT(*)&gt;1</t>
  </si>
  <si>
    <t xml:space="preserve">None found - safe to treat each row as a unique daily observation</t>
  </si>
  <si>
    <t xml:space="preserve">NULL values (Date/Store/Product/Units Sold/Price)</t>
  </si>
  <si>
    <t xml:space="preserve">SUM(CASE WHEN col IS NULL THEN 1 ELSE 0 END)</t>
  </si>
  <si>
    <t xml:space="preserve">No missing values in any key field</t>
  </si>
  <si>
    <t xml:space="preserve">Negative Units Sold</t>
  </si>
  <si>
    <t xml:space="preserve">WHERE Units Sold &lt; 0</t>
  </si>
  <si>
    <t xml:space="preserve">No negative sales - no data-entry sign errors</t>
  </si>
  <si>
    <t xml:space="preserve">Negative Inventory Level</t>
  </si>
  <si>
    <t xml:space="preserve">WHERE Inventory Level &lt; 0</t>
  </si>
  <si>
    <t xml:space="preserve">No negative stock - no reversal/return errors</t>
  </si>
  <si>
    <t xml:space="preserve">Zero or negative Price</t>
  </si>
  <si>
    <t xml:space="preserve">WHERE Price &lt;= 0</t>
  </si>
  <si>
    <t xml:space="preserve">No free or invalid pricing rows</t>
  </si>
  <si>
    <t xml:space="preserve">Invalid Discount % (outside 0-100)</t>
  </si>
  <si>
    <t xml:space="preserve">WHERE Discount &lt; 0 OR Discount &gt; 100</t>
  </si>
  <si>
    <t xml:space="preserve">Discount field is internally consistent</t>
  </si>
  <si>
    <t xml:space="preserve">Invalid date format</t>
  </si>
  <si>
    <t xml:space="preserve">length(Date)&lt;&gt;10 or malformed separators</t>
  </si>
  <si>
    <t xml:space="preserve">All dates parse as YYYY-MM-DD</t>
  </si>
  <si>
    <t xml:space="preserve">Product ID mapped to &gt;1 Category</t>
  </si>
  <si>
    <t xml:space="preserve">GROUP BY Product ID HAVING COUNT(DISTINCT Category)&gt;1</t>
  </si>
  <si>
    <t xml:space="preserve">CRITICAL FINDING: all 20 Product IDs are inconsistently tagged across categories. Product ID alone cannot be used as a SKU key - see 00_ReadMe.</t>
  </si>
  <si>
    <t xml:space="preserve">Store ID + Product ID grain integrity</t>
  </si>
  <si>
    <t xml:space="preserve">GROUP BY Store ID, Product ID HAVING COUNT(*)&lt;&gt;731 or duplicates</t>
  </si>
  <si>
    <t xml:space="preserve">Store ID + Product ID IS a clean, consistent key: exactly 731 rows per combination, 0 duplicates. Adopted as the SKU key for this project.</t>
  </si>
  <si>
    <t xml:space="preserve">SKU Master - SQL Analytical Layer (source data for all downstream sheets)</t>
  </si>
  <si>
    <t xml:space="preserve">Aggregated in SQLite from 73,100 raw rows. SKU = Store ID + Product ID. Sorted by Annual Consumption Value desc.</t>
  </si>
  <si>
    <t xml:space="preserve">SKU</t>
  </si>
  <si>
    <t xml:space="preserve">Store ID</t>
  </si>
  <si>
    <t xml:space="preserve">Product ID</t>
  </si>
  <si>
    <t xml:space="preserve">Display Category</t>
  </si>
  <si>
    <t xml:space="preserve">Avg Price ($)</t>
  </si>
  <si>
    <t xml:space="preserve">Avg Daily Demand (u)</t>
  </si>
  <si>
    <t xml:space="preserve">StdDev Daily Demand</t>
  </si>
  <si>
    <t xml:space="preserve">CV</t>
  </si>
  <si>
    <t xml:space="preserve">Total Units (2yr)</t>
  </si>
  <si>
    <t xml:space="preserve">Total Revenue (2yr, $)</t>
  </si>
  <si>
    <t xml:space="preserve">Latest Inventory (u)</t>
  </si>
  <si>
    <t xml:space="preserve">Annual Consumption Value ($)</t>
  </si>
  <si>
    <t xml:space="preserve">S005-P0015</t>
  </si>
  <si>
    <t xml:space="preserve">S005</t>
  </si>
  <si>
    <t xml:space="preserve">P0015</t>
  </si>
  <si>
    <t xml:space="preserve">Toys</t>
  </si>
  <si>
    <t xml:space="preserve">S003-P0013</t>
  </si>
  <si>
    <t xml:space="preserve">S003</t>
  </si>
  <si>
    <t xml:space="preserve">P0013</t>
  </si>
  <si>
    <t xml:space="preserve">Groceries</t>
  </si>
  <si>
    <t xml:space="preserve">S002-P0020</t>
  </si>
  <si>
    <t xml:space="preserve">S002</t>
  </si>
  <si>
    <t xml:space="preserve">P0020</t>
  </si>
  <si>
    <t xml:space="preserve">Electronics</t>
  </si>
  <si>
    <t xml:space="preserve">S003-P0014</t>
  </si>
  <si>
    <t xml:space="preserve">P0014</t>
  </si>
  <si>
    <t xml:space="preserve">Clothing</t>
  </si>
  <si>
    <t xml:space="preserve">S002-P0009</t>
  </si>
  <si>
    <t xml:space="preserve">P0009</t>
  </si>
  <si>
    <t xml:space="preserve">S005-P0003</t>
  </si>
  <si>
    <t xml:space="preserve">P0003</t>
  </si>
  <si>
    <t xml:space="preserve">S004-P0016</t>
  </si>
  <si>
    <t xml:space="preserve">S004</t>
  </si>
  <si>
    <t xml:space="preserve">P0016</t>
  </si>
  <si>
    <t xml:space="preserve">Furniture</t>
  </si>
  <si>
    <t xml:space="preserve">S004-P0014</t>
  </si>
  <si>
    <t xml:space="preserve">S004-P0011</t>
  </si>
  <si>
    <t xml:space="preserve">P0011</t>
  </si>
  <si>
    <t xml:space="preserve">S003-P0007</t>
  </si>
  <si>
    <t xml:space="preserve">P0007</t>
  </si>
  <si>
    <t xml:space="preserve">S003-P0006</t>
  </si>
  <si>
    <t xml:space="preserve">P0006</t>
  </si>
  <si>
    <t xml:space="preserve">S002-P0011</t>
  </si>
  <si>
    <t xml:space="preserve">S003-P0019</t>
  </si>
  <si>
    <t xml:space="preserve">P0019</t>
  </si>
  <si>
    <t xml:space="preserve">S003-P0005</t>
  </si>
  <si>
    <t xml:space="preserve">P0005</t>
  </si>
  <si>
    <t xml:space="preserve">S001-P0004</t>
  </si>
  <si>
    <t xml:space="preserve">S001</t>
  </si>
  <si>
    <t xml:space="preserve">P0004</t>
  </si>
  <si>
    <t xml:space="preserve">S003-P0011</t>
  </si>
  <si>
    <t xml:space="preserve">S003-P0017</t>
  </si>
  <si>
    <t xml:space="preserve">P0017</t>
  </si>
  <si>
    <t xml:space="preserve">S002-P0001</t>
  </si>
  <si>
    <t xml:space="preserve">P0001</t>
  </si>
  <si>
    <t xml:space="preserve">S005-P0011</t>
  </si>
  <si>
    <t xml:space="preserve">S004-P0005</t>
  </si>
  <si>
    <t xml:space="preserve">S005-P0014</t>
  </si>
  <si>
    <t xml:space="preserve">S003-P0002</t>
  </si>
  <si>
    <t xml:space="preserve">P0002</t>
  </si>
  <si>
    <t xml:space="preserve">S001-P0003</t>
  </si>
  <si>
    <t xml:space="preserve">S001-P0020</t>
  </si>
  <si>
    <t xml:space="preserve">S002-P0016</t>
  </si>
  <si>
    <t xml:space="preserve">S001-P0018</t>
  </si>
  <si>
    <t xml:space="preserve">P0018</t>
  </si>
  <si>
    <t xml:space="preserve">S005-P0013</t>
  </si>
  <si>
    <t xml:space="preserve">S005-P0020</t>
  </si>
  <si>
    <t xml:space="preserve">S005-P0005</t>
  </si>
  <si>
    <t xml:space="preserve">S003-P0020</t>
  </si>
  <si>
    <t xml:space="preserve">S005-P0010</t>
  </si>
  <si>
    <t xml:space="preserve">P0010</t>
  </si>
  <si>
    <t xml:space="preserve">S005-P0012</t>
  </si>
  <si>
    <t xml:space="preserve">P0012</t>
  </si>
  <si>
    <t xml:space="preserve">S002-P0018</t>
  </si>
  <si>
    <t xml:space="preserve">S003-P0009</t>
  </si>
  <si>
    <t xml:space="preserve">S001-P0014</t>
  </si>
  <si>
    <t xml:space="preserve">S002-P0004</t>
  </si>
  <si>
    <t xml:space="preserve">S003-P0016</t>
  </si>
  <si>
    <t xml:space="preserve">S001-P0017</t>
  </si>
  <si>
    <t xml:space="preserve">S004-P0001</t>
  </si>
  <si>
    <t xml:space="preserve">S001-P0008</t>
  </si>
  <si>
    <t xml:space="preserve">P0008</t>
  </si>
  <si>
    <t xml:space="preserve">S001-P0001</t>
  </si>
  <si>
    <t xml:space="preserve">S005-P0019</t>
  </si>
  <si>
    <t xml:space="preserve">S005-P0017</t>
  </si>
  <si>
    <t xml:space="preserve">S005-P0016</t>
  </si>
  <si>
    <t xml:space="preserve">S004-P0008</t>
  </si>
  <si>
    <t xml:space="preserve">S005-P0007</t>
  </si>
  <si>
    <t xml:space="preserve">S005-P0009</t>
  </si>
  <si>
    <t xml:space="preserve">S001-P0007</t>
  </si>
  <si>
    <t xml:space="preserve">S004-P0010</t>
  </si>
  <si>
    <t xml:space="preserve">S001-P0015</t>
  </si>
  <si>
    <t xml:space="preserve">S005-P0004</t>
  </si>
  <si>
    <t xml:space="preserve">S002-P0007</t>
  </si>
  <si>
    <t xml:space="preserve">S003-P0015</t>
  </si>
  <si>
    <t xml:space="preserve">S003-P0010</t>
  </si>
  <si>
    <t xml:space="preserve">S001-P0010</t>
  </si>
  <si>
    <t xml:space="preserve">S004-P0012</t>
  </si>
  <si>
    <t xml:space="preserve">S005-P0006</t>
  </si>
  <si>
    <t xml:space="preserve">S004-P0019</t>
  </si>
  <si>
    <t xml:space="preserve">S002-P0014</t>
  </si>
  <si>
    <t xml:space="preserve">S003-P0012</t>
  </si>
  <si>
    <t xml:space="preserve">S002-P0005</t>
  </si>
  <si>
    <t xml:space="preserve">S004-P0009</t>
  </si>
  <si>
    <t xml:space="preserve">S004-P0017</t>
  </si>
  <si>
    <t xml:space="preserve">S004-P0006</t>
  </si>
  <si>
    <t xml:space="preserve">S002-P0010</t>
  </si>
  <si>
    <t xml:space="preserve">S001-P0016</t>
  </si>
  <si>
    <t xml:space="preserve">S004-P0015</t>
  </si>
  <si>
    <t xml:space="preserve">S001-P0019</t>
  </si>
  <si>
    <t xml:space="preserve">S002-P0012</t>
  </si>
  <si>
    <t xml:space="preserve">S004-P0004</t>
  </si>
  <si>
    <t xml:space="preserve">S002-P0013</t>
  </si>
  <si>
    <t xml:space="preserve">S005-P0008</t>
  </si>
  <si>
    <t xml:space="preserve">S004-P0020</t>
  </si>
  <si>
    <t xml:space="preserve">S005-P0018</t>
  </si>
  <si>
    <t xml:space="preserve">S004-P0002</t>
  </si>
  <si>
    <t xml:space="preserve">S005-P0002</t>
  </si>
  <si>
    <t xml:space="preserve">S002-P0003</t>
  </si>
  <si>
    <t xml:space="preserve">S003-P0004</t>
  </si>
  <si>
    <t xml:space="preserve">S001-P0013</t>
  </si>
  <si>
    <t xml:space="preserve">S001-P0009</t>
  </si>
  <si>
    <t xml:space="preserve">S003-P0008</t>
  </si>
  <si>
    <t xml:space="preserve">S001-P0002</t>
  </si>
  <si>
    <t xml:space="preserve">S003-P0001</t>
  </si>
  <si>
    <t xml:space="preserve">S003-P0018</t>
  </si>
  <si>
    <t xml:space="preserve">S001-P0006</t>
  </si>
  <si>
    <t xml:space="preserve">S002-P0006</t>
  </si>
  <si>
    <t xml:space="preserve">S002-P0002</t>
  </si>
  <si>
    <t xml:space="preserve">S002-P0008</t>
  </si>
  <si>
    <t xml:space="preserve">S001-P0011</t>
  </si>
  <si>
    <t xml:space="preserve">S002-P0019</t>
  </si>
  <si>
    <t xml:space="preserve">S002-P0015</t>
  </si>
  <si>
    <t xml:space="preserve">S001-P0005</t>
  </si>
  <si>
    <t xml:space="preserve">S004-P0013</t>
  </si>
  <si>
    <t xml:space="preserve">S004-P0003</t>
  </si>
  <si>
    <t xml:space="preserve">S002-P0017</t>
  </si>
  <si>
    <t xml:space="preserve">S004-P0007</t>
  </si>
  <si>
    <t xml:space="preserve">S004-P0018</t>
  </si>
  <si>
    <t xml:space="preserve">S003-P0003</t>
  </si>
  <si>
    <t xml:space="preserve">S005-P0001</t>
  </si>
  <si>
    <t xml:space="preserve">S001-P0012</t>
  </si>
  <si>
    <t xml:space="preserve">ABC-XYZ Classification</t>
  </si>
  <si>
    <t xml:space="preserve">ABC = value-based Pareto split. XYZ = demand-variability tercile split. See notes below the table.</t>
  </si>
  <si>
    <t xml:space="preserve">Cum % of Total Value</t>
  </si>
  <si>
    <t xml:space="preserve">ABC (value, 70/90 cum%)</t>
  </si>
  <si>
    <t xml:space="preserve">ABC (rank-based, top20/next30/rest50)</t>
  </si>
  <si>
    <t xml:space="preserve">XYZ (tercile split)</t>
  </si>
  <si>
    <t xml:space="preserve">ABC-XYZ Segment</t>
  </si>
  <si>
    <t xml:space="preserve">A</t>
  </si>
  <si>
    <t xml:space="preserve">X</t>
  </si>
  <si>
    <t xml:space="preserve">AX</t>
  </si>
  <si>
    <t xml:space="preserve">Y</t>
  </si>
  <si>
    <t xml:space="preserve">AY</t>
  </si>
  <si>
    <t xml:space="preserve">Z</t>
  </si>
  <si>
    <t xml:space="preserve">AZ</t>
  </si>
  <si>
    <t xml:space="preserve">B</t>
  </si>
  <si>
    <t xml:space="preserve">C</t>
  </si>
  <si>
    <t xml:space="preserve">BY</t>
  </si>
  <si>
    <t xml:space="preserve">BZ</t>
  </si>
  <si>
    <t xml:space="preserve">BX</t>
  </si>
  <si>
    <t xml:space="preserve">CZ</t>
  </si>
  <si>
    <t xml:space="preserve">CY</t>
  </si>
  <si>
    <t xml:space="preserve">METHOD NOTES (read before quoting numbers in an interview):</t>
  </si>
  <si>
    <t xml:space="preserve">1) ABC (value-based): Annual Consumption Value = Avg Daily Demand x 365 x Avg Price, ranked desc, cumulative % &lt;=70% = A, 70-90% = B, &gt;90% = C. This is the textbook method.</t>
  </si>
  <si>
    <t xml:space="preserve">2) Finding: this dataset's Annual Consumption Value only ranges ~$2.53M-$3.06M across all 100 SKUs (std dev ~$100K on a ~$2.75M mean) - i.e. near-uniform demand, none of the usual '20% of SKUs = 80% of value' skew real POS data shows.</t>
  </si>
  <si>
    <t xml:space="preserve">   That's why the value-based method classifies 68/100 SKUs as 'A' - technically correct, but not a useful prioritization signal on this data.</t>
  </si>
  <si>
    <t xml:space="preserve">3) Alternative supplied: rank-based ABC (top 20% of SKUs by value = A, next 30% = B, remaining 50% = C) - a standard alternative used specifically when the value distribution is flat, and what I'd actually hand a planner here.</t>
  </si>
  <si>
    <t xml:space="preserve">4) XYZ: CV = StdDev / Mean of daily demand. Standard fixed thresholds (X&lt;0.5, Y 0.5-1.0, Z&gt;1.0) put every SKU in 'Y' because this dataset's CV is tightly clustered at 0.75-0.84 for all SKUs - also a symptom of synthetic, uniformly-noised data.</t>
  </si>
  <si>
    <t xml:space="preserve">   Used tercile (relative) thresholds instead - splits the 100 SKUs into 3 equal groups by their own CV ranking, which is the standard workaround when absolute cutoffs don't discriminate.</t>
  </si>
  <si>
    <t xml:space="preserve">5) Honest takeaway for an interview: the classification LOGIC is fully correct and production-ready; this particular dataset just doesn't have realistic demand skew to showcase it dramatically. Real POS data would show much sharper A/C and X/Z separation.</t>
  </si>
  <si>
    <t xml:space="preserve">Forecast Validation - Naive vs 3-Month MA vs 6-Month MA</t>
  </si>
  <si>
    <t xml:space="preserve">Trained on Jan-2022 to Sep-2023 (21 full months), tested against actual Oct-Nov-Dec 2023 (held out, never seen by the model). Jan-2024 dropped (only 1 day of data).</t>
  </si>
  <si>
    <t xml:space="preserve">MAPE - Naive (%)</t>
  </si>
  <si>
    <t xml:space="preserve">MAPE - 3mo MA (%)</t>
  </si>
  <si>
    <t xml:space="preserve">MAPE - 6mo MA (%)</t>
  </si>
  <si>
    <t xml:space="preserve">Best Method (lowest MAPE)</t>
  </si>
  <si>
    <t xml:space="preserve">MA6</t>
  </si>
  <si>
    <t xml:space="preserve">Naive</t>
  </si>
  <si>
    <t xml:space="preserve">MA3</t>
  </si>
  <si>
    <t xml:space="preserve">Fleet-wide average MAPE by method:</t>
  </si>
  <si>
    <t xml:space="preserve">Method</t>
  </si>
  <si>
    <t xml:space="preserve">Avg MAPE (%)</t>
  </si>
  <si>
    <t xml:space="preserve">SKUs where this method wins</t>
  </si>
  <si>
    <t xml:space="preserve">Naive (repeat last month)</t>
  </si>
  <si>
    <t xml:space="preserve">3-Month Moving Average</t>
  </si>
  <si>
    <t xml:space="preserve">6-Month Moving Average</t>
  </si>
  <si>
    <t xml:space="preserve">INSIGHT: 6-month moving average has the lowest fleet-wide MAPE and wins on the most SKUs, beating the naive baseline by roughly a third. Simple methods win here because this dataset has no strong trend or seasonality signal to reward a fancier model - matches the 'establish a baseline before reaching for something complex' principle.</t>
  </si>
  <si>
    <t xml:space="preserve">Assumptions &amp; Planning Parameters</t>
  </si>
  <si>
    <t xml:space="preserve">None of these fields exist in the source dataset (no lead time, no ordering/holding cost, no target service level). Documented and isolated here, exactly as instructed - change any yellow cell and every downstream sheet recalculates.</t>
  </si>
  <si>
    <t xml:space="preserve">Service Level Scenarios (Z-score for Safety Stock)</t>
  </si>
  <si>
    <t xml:space="preserve">Scenario</t>
  </si>
  <si>
    <t xml:space="preserve">Target Service Level</t>
  </si>
  <si>
    <t xml:space="preserve">Z-score</t>
  </si>
  <si>
    <t xml:space="preserve">Relaxed</t>
  </si>
  <si>
    <t xml:space="preserve">Standard</t>
  </si>
  <si>
    <t xml:space="preserve">Conservative</t>
  </si>
  <si>
    <t xml:space="preserve">ACTIVE SCENARIO (drives 05_Inventory_Planning):</t>
  </si>
  <si>
    <t xml:space="preserve">Active Z-score:</t>
  </si>
  <si>
    <t xml:space="preserve">Supplier Lead Time by Category (days) - ASSUMPTION</t>
  </si>
  <si>
    <t xml:space="preserve">Category</t>
  </si>
  <si>
    <t xml:space="preserve">Lead Time (days)</t>
  </si>
  <si>
    <t xml:space="preserve">Cost Parameters (for EOQ) - ASSUMPTION, not in source data</t>
  </si>
  <si>
    <t xml:space="preserve">Ordering Cost per Order ($)</t>
  </si>
  <si>
    <t xml:space="preserve">Annual Holding Cost Rate (% of unit cost)</t>
  </si>
  <si>
    <t xml:space="preserve">Risk Thresholds - ASSUMPTION</t>
  </si>
  <si>
    <t xml:space="preserve">Overstock trigger: Days of Supply above</t>
  </si>
  <si>
    <t xml:space="preserve">Monitor buffer above ROP (%)</t>
  </si>
  <si>
    <t xml:space="preserve">Inventory Planning - Safety Stock, ROP, EOQ, Risk Flags</t>
  </si>
  <si>
    <t xml:space="preserve">Every column right of Avg Daily Demand is a LIVE formula. Change 05_Assumptions and this entire sheet recalculates.</t>
  </si>
  <si>
    <t xml:space="preserve">Avg Daily Demand</t>
  </si>
  <si>
    <t xml:space="preserve">Lead-Time Demand</t>
  </si>
  <si>
    <t xml:space="preserve">Safety Stock</t>
  </si>
  <si>
    <t xml:space="preserve">Reorder Point (ROP)</t>
  </si>
  <si>
    <t xml:space="preserve">EOQ (units)</t>
  </si>
  <si>
    <t xml:space="preserve">Current Stock</t>
  </si>
  <si>
    <t xml:space="preserve">Days of Supply</t>
  </si>
  <si>
    <t xml:space="preserve">Stockout Risk</t>
  </si>
  <si>
    <t xml:space="preserve">Overstock Risk</t>
  </si>
  <si>
    <t xml:space="preserve">Action</t>
  </si>
  <si>
    <t xml:space="preserve">Executive Dashboard</t>
  </si>
  <si>
    <t xml:space="preserve">All figures below are live formulas pulling from 06_Inventory_Planning and 03_ABC_XYZ</t>
  </si>
  <si>
    <t xml:space="preserve">KEY METRICS</t>
  </si>
  <si>
    <t xml:space="preserve">Total SKUs tracked</t>
  </si>
  <si>
    <t xml:space="preserve">Total inventory value on hand ($)</t>
  </si>
  <si>
    <t xml:space="preserve">SKUs at CRITICAL stockout risk</t>
  </si>
  <si>
    <t xml:space="preserve">SKUs at WATCH (near ROP)</t>
  </si>
  <si>
    <t xml:space="preserve">SKUs at overstock risk</t>
  </si>
  <si>
    <t xml:space="preserve">SKUs needing REORDER NOW</t>
  </si>
  <si>
    <t xml:space="preserve">Avg days of supply (fleet)</t>
  </si>
  <si>
    <t xml:space="preserve">Best fleet-wide forecast method</t>
  </si>
  <si>
    <t xml:space="preserve">6-Month Moving Average (11.7% avg MAPE, beats naive by ~33%)</t>
  </si>
  <si>
    <t xml:space="preserve">ABC x XYZ SEGMENT DISTRIBUTION (SKU count)</t>
  </si>
  <si>
    <t xml:space="preserve">Segment</t>
  </si>
  <si>
    <t xml:space="preserve">TOP 5 SKUs BY ANNUAL CONSUMPTION VALUE</t>
  </si>
  <si>
    <t xml:space="preserve">Annual Value ($)</t>
  </si>
  <si>
    <t xml:space="preserve">ABC-XYZ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</si>
</sst>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%"/>
    <numFmt numFmtId="166" formatCode="#,##0.0"/>
    <numFmt numFmtId="167" formatCode="\$#,##0.00"/>
    <numFmt numFmtId="168" formatCode="\$#,##0"/>
    <numFmt numFmtId="169" formatCode="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1F4E78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D9D9D9"/>
      </patternFill>
    </fill>
    <fill>
      <patternFill patternType="solid">
        <fgColor rgb="FFFFC7CE"/>
        <bgColor rgb="FFD9D9D9"/>
      </patternFill>
    </fill>
    <fill>
      <patternFill patternType="solid">
        <fgColor rgb="FFFFF2CC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95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25.5" hidden="false" customHeight="true" outlineLevel="0" collapsed="false">
      <c r="B5" s="3"/>
      <c r="C5" s="4"/>
    </row>
    <row r="6" customFormat="false" ht="25.5" hidden="false" customHeight="true" outlineLevel="0" collapsed="false">
      <c r="B6" s="5" t="s">
        <v>2</v>
      </c>
      <c r="C6" s="4"/>
    </row>
    <row r="7" customFormat="false" ht="25.5" hidden="false" customHeight="true" outlineLevel="0" collapsed="false">
      <c r="B7" s="3" t="s">
        <v>3</v>
      </c>
      <c r="C7" s="4" t="s">
        <v>4</v>
      </c>
    </row>
    <row r="8" customFormat="false" ht="25.5" hidden="false" customHeight="true" outlineLevel="0" collapsed="false">
      <c r="B8" s="3" t="s">
        <v>5</v>
      </c>
      <c r="C8" s="4" t="s">
        <v>6</v>
      </c>
    </row>
    <row r="9" customFormat="false" ht="25.5" hidden="false" customHeight="true" outlineLevel="0" collapsed="false">
      <c r="B9" s="3" t="s">
        <v>7</v>
      </c>
      <c r="C9" s="4" t="s">
        <v>8</v>
      </c>
    </row>
    <row r="10" customFormat="false" ht="25.5" hidden="false" customHeight="true" outlineLevel="0" collapsed="false">
      <c r="B10" s="3" t="s">
        <v>9</v>
      </c>
      <c r="C10" s="4" t="s">
        <v>10</v>
      </c>
    </row>
    <row r="11" customFormat="false" ht="25.5" hidden="false" customHeight="true" outlineLevel="0" collapsed="false">
      <c r="B11" s="3" t="s">
        <v>11</v>
      </c>
      <c r="C11" s="4" t="s">
        <v>12</v>
      </c>
    </row>
    <row r="12" customFormat="false" ht="25.5" hidden="false" customHeight="true" outlineLevel="0" collapsed="false">
      <c r="B12" s="3"/>
      <c r="C12" s="4"/>
    </row>
    <row r="13" customFormat="false" ht="25.5" hidden="false" customHeight="true" outlineLevel="0" collapsed="false">
      <c r="B13" s="5" t="s">
        <v>13</v>
      </c>
      <c r="C13" s="4"/>
    </row>
    <row r="14" customFormat="false" ht="25.5" hidden="false" customHeight="true" outlineLevel="0" collapsed="false">
      <c r="B14" s="3" t="s">
        <v>14</v>
      </c>
      <c r="C14" s="4" t="s">
        <v>15</v>
      </c>
    </row>
    <row r="15" customFormat="false" ht="25.5" hidden="false" customHeight="true" outlineLevel="0" collapsed="false">
      <c r="B15" s="3" t="s">
        <v>16</v>
      </c>
      <c r="C15" s="4" t="s">
        <v>17</v>
      </c>
    </row>
    <row r="16" customFormat="false" ht="25.5" hidden="false" customHeight="true" outlineLevel="0" collapsed="false">
      <c r="B16" s="3" t="s">
        <v>18</v>
      </c>
      <c r="C16" s="4" t="s">
        <v>19</v>
      </c>
    </row>
    <row r="17" customFormat="false" ht="25.5" hidden="false" customHeight="true" outlineLevel="0" collapsed="false">
      <c r="B17" s="3" t="s">
        <v>20</v>
      </c>
      <c r="C17" s="4" t="s">
        <v>21</v>
      </c>
    </row>
    <row r="18" customFormat="false" ht="25.5" hidden="false" customHeight="true" outlineLevel="0" collapsed="false">
      <c r="B18" s="3" t="s">
        <v>22</v>
      </c>
      <c r="C18" s="4" t="s">
        <v>23</v>
      </c>
    </row>
    <row r="19" customFormat="false" ht="25.5" hidden="false" customHeight="true" outlineLevel="0" collapsed="false">
      <c r="B19" s="3" t="s">
        <v>24</v>
      </c>
      <c r="C19" s="4" t="s">
        <v>25</v>
      </c>
    </row>
    <row r="20" customFormat="false" ht="25.5" hidden="false" customHeight="true" outlineLevel="0" collapsed="false">
      <c r="B20" s="3" t="s">
        <v>26</v>
      </c>
      <c r="C20" s="4" t="s">
        <v>27</v>
      </c>
    </row>
    <row r="21" customFormat="false" ht="25.5" hidden="false" customHeight="true" outlineLevel="0" collapsed="false">
      <c r="B21" s="3" t="s">
        <v>28</v>
      </c>
      <c r="C21" s="4" t="s">
        <v>29</v>
      </c>
    </row>
    <row r="22" customFormat="false" ht="25.5" hidden="false" customHeight="true" outlineLevel="0" collapsed="false">
      <c r="B22" s="3"/>
      <c r="C22" s="4"/>
    </row>
    <row r="23" customFormat="false" ht="25.5" hidden="false" customHeight="true" outlineLevel="0" collapsed="false">
      <c r="B23" s="5" t="s">
        <v>30</v>
      </c>
      <c r="C23" s="4"/>
    </row>
    <row r="24" customFormat="false" ht="25.5" hidden="false" customHeight="true" outlineLevel="0" collapsed="false">
      <c r="B24" s="3" t="s">
        <v>31</v>
      </c>
      <c r="C24" s="4" t="s">
        <v>32</v>
      </c>
    </row>
    <row r="25" customFormat="false" ht="25.5" hidden="false" customHeight="true" outlineLevel="0" collapsed="false">
      <c r="B25" s="3" t="s">
        <v>33</v>
      </c>
      <c r="C25" s="4" t="s">
        <v>34</v>
      </c>
    </row>
    <row r="26" customFormat="false" ht="25.5" hidden="false" customHeight="true" outlineLevel="0" collapsed="false">
      <c r="B26" s="3" t="s">
        <v>35</v>
      </c>
      <c r="C26" s="4" t="s">
        <v>36</v>
      </c>
    </row>
    <row r="27" customFormat="false" ht="25.5" hidden="false" customHeight="true" outlineLevel="0" collapsed="false">
      <c r="B27" s="3"/>
      <c r="C27" s="4"/>
    </row>
    <row r="28" customFormat="false" ht="25.5" hidden="false" customHeight="true" outlineLevel="0" collapsed="false">
      <c r="B28" s="5" t="s">
        <v>37</v>
      </c>
      <c r="C28" s="4"/>
    </row>
    <row r="29" customFormat="false" ht="25.5" hidden="false" customHeight="true" outlineLevel="0" collapsed="false">
      <c r="B29" s="3" t="s">
        <v>38</v>
      </c>
      <c r="C29" s="4" t="s">
        <v>39</v>
      </c>
    </row>
    <row r="30" customFormat="false" ht="25.5" hidden="false" customHeight="true" outlineLevel="0" collapsed="false">
      <c r="B30" s="3" t="s">
        <v>40</v>
      </c>
      <c r="C30" s="4" t="s">
        <v>41</v>
      </c>
    </row>
    <row r="31" customFormat="false" ht="25.5" hidden="false" customHeight="true" outlineLevel="0" collapsed="false">
      <c r="B31" s="3" t="s">
        <v>42</v>
      </c>
      <c r="C31" s="4" t="s">
        <v>43</v>
      </c>
    </row>
    <row r="32" customFormat="false" ht="25.5" hidden="false" customHeight="true" outlineLevel="0" collapsed="false">
      <c r="B32" s="3" t="s">
        <v>44</v>
      </c>
      <c r="C32" s="4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60"/>
  </cols>
  <sheetData>
    <row r="2" customFormat="false" ht="17.35" hidden="false" customHeight="false" outlineLevel="0" collapsed="false">
      <c r="B2" s="1" t="s">
        <v>46</v>
      </c>
    </row>
    <row r="3" customFormat="false" ht="15" hidden="false" customHeight="false" outlineLevel="0" collapsed="false">
      <c r="B3" s="2" t="s">
        <v>47</v>
      </c>
    </row>
    <row r="5" customFormat="false" ht="15" hidden="false" customHeight="false" outlineLevel="0" collapsed="false">
      <c r="A5" s="6" t="s">
        <v>48</v>
      </c>
      <c r="B5" s="6" t="s">
        <v>49</v>
      </c>
      <c r="C5" s="6" t="s">
        <v>50</v>
      </c>
      <c r="D5" s="6" t="s">
        <v>51</v>
      </c>
    </row>
    <row r="6" customFormat="false" ht="45" hidden="false" customHeight="true" outlineLevel="0" collapsed="false">
      <c r="A6" s="7" t="s">
        <v>52</v>
      </c>
      <c r="B6" s="7" t="s">
        <v>53</v>
      </c>
      <c r="C6" s="8" t="n">
        <v>0</v>
      </c>
      <c r="D6" s="9" t="s">
        <v>54</v>
      </c>
    </row>
    <row r="7" customFormat="false" ht="45" hidden="false" customHeight="true" outlineLevel="0" collapsed="false">
      <c r="A7" s="7" t="s">
        <v>55</v>
      </c>
      <c r="B7" s="7" t="s">
        <v>56</v>
      </c>
      <c r="C7" s="8" t="n">
        <v>0</v>
      </c>
      <c r="D7" s="9" t="s">
        <v>57</v>
      </c>
    </row>
    <row r="8" customFormat="false" ht="45" hidden="false" customHeight="true" outlineLevel="0" collapsed="false">
      <c r="A8" s="7" t="s">
        <v>58</v>
      </c>
      <c r="B8" s="7" t="s">
        <v>59</v>
      </c>
      <c r="C8" s="8" t="n">
        <v>0</v>
      </c>
      <c r="D8" s="9" t="s">
        <v>60</v>
      </c>
    </row>
    <row r="9" customFormat="false" ht="45" hidden="false" customHeight="true" outlineLevel="0" collapsed="false">
      <c r="A9" s="7" t="s">
        <v>61</v>
      </c>
      <c r="B9" s="7" t="s">
        <v>62</v>
      </c>
      <c r="C9" s="8" t="n">
        <v>0</v>
      </c>
      <c r="D9" s="9" t="s">
        <v>63</v>
      </c>
    </row>
    <row r="10" customFormat="false" ht="45" hidden="false" customHeight="true" outlineLevel="0" collapsed="false">
      <c r="A10" s="7" t="s">
        <v>64</v>
      </c>
      <c r="B10" s="7" t="s">
        <v>65</v>
      </c>
      <c r="C10" s="8" t="n">
        <v>0</v>
      </c>
      <c r="D10" s="9" t="s">
        <v>66</v>
      </c>
    </row>
    <row r="11" customFormat="false" ht="45" hidden="false" customHeight="true" outlineLevel="0" collapsed="false">
      <c r="A11" s="7" t="s">
        <v>67</v>
      </c>
      <c r="B11" s="7" t="s">
        <v>68</v>
      </c>
      <c r="C11" s="8" t="n">
        <v>0</v>
      </c>
      <c r="D11" s="9" t="s">
        <v>69</v>
      </c>
    </row>
    <row r="12" customFormat="false" ht="45" hidden="false" customHeight="true" outlineLevel="0" collapsed="false">
      <c r="A12" s="7" t="s">
        <v>70</v>
      </c>
      <c r="B12" s="7" t="s">
        <v>71</v>
      </c>
      <c r="C12" s="8" t="n">
        <v>0</v>
      </c>
      <c r="D12" s="9" t="s">
        <v>72</v>
      </c>
    </row>
    <row r="13" customFormat="false" ht="45" hidden="false" customHeight="true" outlineLevel="0" collapsed="false">
      <c r="A13" s="7" t="s">
        <v>73</v>
      </c>
      <c r="B13" s="7" t="s">
        <v>74</v>
      </c>
      <c r="C13" s="10" t="n">
        <v>20</v>
      </c>
      <c r="D13" s="9" t="s">
        <v>75</v>
      </c>
    </row>
    <row r="14" customFormat="false" ht="45" hidden="false" customHeight="true" outlineLevel="0" collapsed="false">
      <c r="A14" s="7" t="s">
        <v>76</v>
      </c>
      <c r="B14" s="7" t="s">
        <v>77</v>
      </c>
      <c r="C14" s="8" t="n">
        <v>0</v>
      </c>
      <c r="D14" s="9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5"/>
    <col collapsed="false" customWidth="true" hidden="false" outlineLevel="0" max="8" min="8" style="0" width="8"/>
    <col collapsed="false" customWidth="true" hidden="false" outlineLevel="0" max="9" min="9" style="0" width="13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18"/>
  </cols>
  <sheetData>
    <row r="2" customFormat="false" ht="17.35" hidden="false" customHeight="false" outlineLevel="0" collapsed="false">
      <c r="B2" s="1" t="s">
        <v>79</v>
      </c>
    </row>
    <row r="3" customFormat="false" ht="15" hidden="false" customHeight="false" outlineLevel="0" collapsed="false">
      <c r="B3" s="2" t="s">
        <v>80</v>
      </c>
    </row>
    <row r="5" customFormat="false" ht="35.05" hidden="false" customHeight="false" outlineLevel="0" collapsed="false">
      <c r="A5" s="6" t="s">
        <v>81</v>
      </c>
      <c r="B5" s="6" t="s">
        <v>82</v>
      </c>
      <c r="C5" s="6" t="s">
        <v>83</v>
      </c>
      <c r="D5" s="6" t="s">
        <v>84</v>
      </c>
      <c r="E5" s="6" t="s">
        <v>85</v>
      </c>
      <c r="F5" s="6" t="s">
        <v>86</v>
      </c>
      <c r="G5" s="6" t="s">
        <v>87</v>
      </c>
      <c r="H5" s="6" t="s">
        <v>88</v>
      </c>
      <c r="I5" s="6" t="s">
        <v>89</v>
      </c>
      <c r="J5" s="6" t="s">
        <v>90</v>
      </c>
      <c r="K5" s="6" t="s">
        <v>91</v>
      </c>
      <c r="L5" s="6" t="s">
        <v>92</v>
      </c>
    </row>
    <row r="6" customFormat="false" ht="15" hidden="false" customHeight="false" outlineLevel="0" collapsed="false">
      <c r="A6" s="7" t="s">
        <v>93</v>
      </c>
      <c r="B6" s="7" t="s">
        <v>94</v>
      </c>
      <c r="C6" s="7" t="s">
        <v>95</v>
      </c>
      <c r="D6" s="7" t="s">
        <v>96</v>
      </c>
      <c r="E6" s="7" t="n">
        <v>56.11</v>
      </c>
      <c r="F6" s="7" t="n">
        <v>149.2</v>
      </c>
      <c r="G6" s="7" t="n">
        <v>115.7</v>
      </c>
      <c r="H6" s="7" t="n">
        <v>0.775</v>
      </c>
      <c r="I6" s="7" t="n">
        <v>109099</v>
      </c>
      <c r="J6" s="7" t="n">
        <v>6079062.69</v>
      </c>
      <c r="K6" s="7" t="n">
        <v>408</v>
      </c>
      <c r="L6" s="7" t="n">
        <v>3056460</v>
      </c>
    </row>
    <row r="7" customFormat="false" ht="15" hidden="false" customHeight="false" outlineLevel="0" collapsed="false">
      <c r="A7" s="7" t="s">
        <v>97</v>
      </c>
      <c r="B7" s="7" t="s">
        <v>98</v>
      </c>
      <c r="C7" s="7" t="s">
        <v>99</v>
      </c>
      <c r="D7" s="7" t="s">
        <v>100</v>
      </c>
      <c r="E7" s="7" t="n">
        <v>55.96</v>
      </c>
      <c r="F7" s="7" t="n">
        <v>147</v>
      </c>
      <c r="G7" s="7" t="n">
        <v>112.6</v>
      </c>
      <c r="H7" s="7" t="n">
        <v>0.766</v>
      </c>
      <c r="I7" s="7" t="n">
        <v>107479</v>
      </c>
      <c r="J7" s="7" t="n">
        <v>6087261.54</v>
      </c>
      <c r="K7" s="7" t="n">
        <v>388</v>
      </c>
      <c r="L7" s="7" t="n">
        <v>3003091</v>
      </c>
    </row>
    <row r="8" customFormat="false" ht="15" hidden="false" customHeight="false" outlineLevel="0" collapsed="false">
      <c r="A8" s="7" t="s">
        <v>101</v>
      </c>
      <c r="B8" s="7" t="s">
        <v>102</v>
      </c>
      <c r="C8" s="7" t="s">
        <v>103</v>
      </c>
      <c r="D8" s="7" t="s">
        <v>104</v>
      </c>
      <c r="E8" s="7" t="n">
        <v>56.87</v>
      </c>
      <c r="F8" s="7" t="n">
        <v>144.1</v>
      </c>
      <c r="G8" s="7" t="n">
        <v>113.5</v>
      </c>
      <c r="H8" s="7" t="n">
        <v>0.788</v>
      </c>
      <c r="I8" s="7" t="n">
        <v>105343</v>
      </c>
      <c r="J8" s="7" t="n">
        <v>6170479.71</v>
      </c>
      <c r="K8" s="7" t="n">
        <v>284</v>
      </c>
      <c r="L8" s="7" t="n">
        <v>2991361</v>
      </c>
    </row>
    <row r="9" customFormat="false" ht="15" hidden="false" customHeight="false" outlineLevel="0" collapsed="false">
      <c r="A9" s="7" t="s">
        <v>105</v>
      </c>
      <c r="B9" s="7" t="s">
        <v>98</v>
      </c>
      <c r="C9" s="7" t="s">
        <v>106</v>
      </c>
      <c r="D9" s="7" t="s">
        <v>107</v>
      </c>
      <c r="E9" s="7" t="n">
        <v>55.81</v>
      </c>
      <c r="F9" s="7" t="n">
        <v>143.9</v>
      </c>
      <c r="G9" s="7" t="n">
        <v>113</v>
      </c>
      <c r="H9" s="7" t="n">
        <v>0.785</v>
      </c>
      <c r="I9" s="7" t="n">
        <v>105188</v>
      </c>
      <c r="J9" s="7" t="n">
        <v>5859781.87</v>
      </c>
      <c r="K9" s="7" t="n">
        <v>230</v>
      </c>
      <c r="L9" s="7" t="n">
        <v>2931012</v>
      </c>
    </row>
    <row r="10" customFormat="false" ht="15" hidden="false" customHeight="false" outlineLevel="0" collapsed="false">
      <c r="A10" s="7" t="s">
        <v>108</v>
      </c>
      <c r="B10" s="7" t="s">
        <v>102</v>
      </c>
      <c r="C10" s="7" t="s">
        <v>109</v>
      </c>
      <c r="D10" s="7" t="s">
        <v>96</v>
      </c>
      <c r="E10" s="7" t="n">
        <v>55.48</v>
      </c>
      <c r="F10" s="7" t="n">
        <v>144.2</v>
      </c>
      <c r="G10" s="7" t="n">
        <v>112.4</v>
      </c>
      <c r="H10" s="7" t="n">
        <v>0.78</v>
      </c>
      <c r="I10" s="7" t="n">
        <v>105376</v>
      </c>
      <c r="J10" s="7" t="n">
        <v>5923919.22</v>
      </c>
      <c r="K10" s="7" t="n">
        <v>62</v>
      </c>
      <c r="L10" s="7" t="n">
        <v>2918882</v>
      </c>
    </row>
    <row r="11" customFormat="false" ht="15" hidden="false" customHeight="false" outlineLevel="0" collapsed="false">
      <c r="A11" s="7" t="s">
        <v>110</v>
      </c>
      <c r="B11" s="7" t="s">
        <v>94</v>
      </c>
      <c r="C11" s="7" t="s">
        <v>111</v>
      </c>
      <c r="D11" s="7" t="s">
        <v>96</v>
      </c>
      <c r="E11" s="7" t="n">
        <v>54.75</v>
      </c>
      <c r="F11" s="7" t="n">
        <v>144.6</v>
      </c>
      <c r="G11" s="7" t="n">
        <v>111.9</v>
      </c>
      <c r="H11" s="7" t="n">
        <v>0.774</v>
      </c>
      <c r="I11" s="7" t="n">
        <v>105667</v>
      </c>
      <c r="J11" s="7" t="n">
        <v>5880145.95</v>
      </c>
      <c r="K11" s="7" t="n">
        <v>98</v>
      </c>
      <c r="L11" s="7" t="n">
        <v>2888618</v>
      </c>
    </row>
    <row r="12" customFormat="false" ht="15" hidden="false" customHeight="false" outlineLevel="0" collapsed="false">
      <c r="A12" s="7" t="s">
        <v>112</v>
      </c>
      <c r="B12" s="7" t="s">
        <v>113</v>
      </c>
      <c r="C12" s="7" t="s">
        <v>114</v>
      </c>
      <c r="D12" s="7" t="s">
        <v>115</v>
      </c>
      <c r="E12" s="7" t="n">
        <v>55.05</v>
      </c>
      <c r="F12" s="7" t="n">
        <v>143.3</v>
      </c>
      <c r="G12" s="7" t="n">
        <v>107.7</v>
      </c>
      <c r="H12" s="7" t="n">
        <v>0.751</v>
      </c>
      <c r="I12" s="7" t="n">
        <v>104777</v>
      </c>
      <c r="J12" s="7" t="n">
        <v>5791070.22</v>
      </c>
      <c r="K12" s="7" t="n">
        <v>314</v>
      </c>
      <c r="L12" s="7" t="n">
        <v>2880108</v>
      </c>
    </row>
    <row r="13" customFormat="false" ht="15" hidden="false" customHeight="false" outlineLevel="0" collapsed="false">
      <c r="A13" s="7" t="s">
        <v>116</v>
      </c>
      <c r="B13" s="7" t="s">
        <v>113</v>
      </c>
      <c r="C13" s="7" t="s">
        <v>106</v>
      </c>
      <c r="D13" s="7" t="s">
        <v>115</v>
      </c>
      <c r="E13" s="7" t="n">
        <v>55.51</v>
      </c>
      <c r="F13" s="7" t="n">
        <v>142.1</v>
      </c>
      <c r="G13" s="7" t="n">
        <v>111</v>
      </c>
      <c r="H13" s="7" t="n">
        <v>0.781</v>
      </c>
      <c r="I13" s="7" t="n">
        <v>103904</v>
      </c>
      <c r="J13" s="7" t="n">
        <v>5637991.92</v>
      </c>
      <c r="K13" s="7" t="n">
        <v>386</v>
      </c>
      <c r="L13" s="7" t="n">
        <v>2879761</v>
      </c>
    </row>
    <row r="14" customFormat="false" ht="15" hidden="false" customHeight="false" outlineLevel="0" collapsed="false">
      <c r="A14" s="7" t="s">
        <v>117</v>
      </c>
      <c r="B14" s="7" t="s">
        <v>113</v>
      </c>
      <c r="C14" s="7" t="s">
        <v>118</v>
      </c>
      <c r="D14" s="7" t="s">
        <v>104</v>
      </c>
      <c r="E14" s="7" t="n">
        <v>56.36</v>
      </c>
      <c r="F14" s="7" t="n">
        <v>139.7</v>
      </c>
      <c r="G14" s="7" t="n">
        <v>106.6</v>
      </c>
      <c r="H14" s="7" t="n">
        <v>0.763</v>
      </c>
      <c r="I14" s="7" t="n">
        <v>102149</v>
      </c>
      <c r="J14" s="7" t="n">
        <v>5756469.21</v>
      </c>
      <c r="K14" s="7" t="n">
        <v>155</v>
      </c>
      <c r="L14" s="7" t="n">
        <v>2874457</v>
      </c>
    </row>
    <row r="15" customFormat="false" ht="15" hidden="false" customHeight="false" outlineLevel="0" collapsed="false">
      <c r="A15" s="7" t="s">
        <v>119</v>
      </c>
      <c r="B15" s="7" t="s">
        <v>98</v>
      </c>
      <c r="C15" s="7" t="s">
        <v>120</v>
      </c>
      <c r="D15" s="7" t="s">
        <v>104</v>
      </c>
      <c r="E15" s="7" t="n">
        <v>56.67</v>
      </c>
      <c r="F15" s="7" t="n">
        <v>138.8</v>
      </c>
      <c r="G15" s="7" t="n">
        <v>110.8</v>
      </c>
      <c r="H15" s="7" t="n">
        <v>0.798</v>
      </c>
      <c r="I15" s="7" t="n">
        <v>101464</v>
      </c>
      <c r="J15" s="7" t="n">
        <v>5866004.78</v>
      </c>
      <c r="K15" s="7" t="n">
        <v>108</v>
      </c>
      <c r="L15" s="7" t="n">
        <v>2871162</v>
      </c>
    </row>
    <row r="16" customFormat="false" ht="15" hidden="false" customHeight="false" outlineLevel="0" collapsed="false">
      <c r="A16" s="7" t="s">
        <v>121</v>
      </c>
      <c r="B16" s="7" t="s">
        <v>98</v>
      </c>
      <c r="C16" s="7" t="s">
        <v>122</v>
      </c>
      <c r="D16" s="7" t="s">
        <v>115</v>
      </c>
      <c r="E16" s="7" t="n">
        <v>56.28</v>
      </c>
      <c r="F16" s="7" t="n">
        <v>139.8</v>
      </c>
      <c r="G16" s="7" t="n">
        <v>114.1</v>
      </c>
      <c r="H16" s="7" t="n">
        <v>0.816</v>
      </c>
      <c r="I16" s="7" t="n">
        <v>102173</v>
      </c>
      <c r="J16" s="7" t="n">
        <v>5859667.08</v>
      </c>
      <c r="K16" s="7" t="n">
        <v>451</v>
      </c>
      <c r="L16" s="7" t="n">
        <v>2871154</v>
      </c>
    </row>
    <row r="17" customFormat="false" ht="15" hidden="false" customHeight="false" outlineLevel="0" collapsed="false">
      <c r="A17" s="7" t="s">
        <v>123</v>
      </c>
      <c r="B17" s="7" t="s">
        <v>102</v>
      </c>
      <c r="C17" s="7" t="s">
        <v>118</v>
      </c>
      <c r="D17" s="7" t="s">
        <v>96</v>
      </c>
      <c r="E17" s="7" t="n">
        <v>57.95</v>
      </c>
      <c r="F17" s="7" t="n">
        <v>135.6</v>
      </c>
      <c r="G17" s="7" t="n">
        <v>108.7</v>
      </c>
      <c r="H17" s="7" t="n">
        <v>0.801</v>
      </c>
      <c r="I17" s="7" t="n">
        <v>99145</v>
      </c>
      <c r="J17" s="7" t="n">
        <v>5764887.9</v>
      </c>
      <c r="K17" s="7" t="n">
        <v>156</v>
      </c>
      <c r="L17" s="7" t="n">
        <v>2869044</v>
      </c>
    </row>
    <row r="18" customFormat="false" ht="15" hidden="false" customHeight="false" outlineLevel="0" collapsed="false">
      <c r="A18" s="7" t="s">
        <v>124</v>
      </c>
      <c r="B18" s="7" t="s">
        <v>98</v>
      </c>
      <c r="C18" s="7" t="s">
        <v>125</v>
      </c>
      <c r="D18" s="7" t="s">
        <v>115</v>
      </c>
      <c r="E18" s="7" t="n">
        <v>54.95</v>
      </c>
      <c r="F18" s="7" t="n">
        <v>143</v>
      </c>
      <c r="G18" s="7" t="n">
        <v>111.2</v>
      </c>
      <c r="H18" s="7" t="n">
        <v>0.778</v>
      </c>
      <c r="I18" s="7" t="n">
        <v>104524</v>
      </c>
      <c r="J18" s="7" t="n">
        <v>5606848.09</v>
      </c>
      <c r="K18" s="7" t="n">
        <v>253</v>
      </c>
      <c r="L18" s="7" t="n">
        <v>2868105</v>
      </c>
    </row>
    <row r="19" customFormat="false" ht="15" hidden="false" customHeight="false" outlineLevel="0" collapsed="false">
      <c r="A19" s="7" t="s">
        <v>126</v>
      </c>
      <c r="B19" s="7" t="s">
        <v>98</v>
      </c>
      <c r="C19" s="7" t="s">
        <v>127</v>
      </c>
      <c r="D19" s="7" t="s">
        <v>96</v>
      </c>
      <c r="E19" s="7" t="n">
        <v>54.43</v>
      </c>
      <c r="F19" s="7" t="n">
        <v>144.2</v>
      </c>
      <c r="G19" s="7" t="n">
        <v>109.3</v>
      </c>
      <c r="H19" s="7" t="n">
        <v>0.758</v>
      </c>
      <c r="I19" s="7" t="n">
        <v>105408</v>
      </c>
      <c r="J19" s="7" t="n">
        <v>5727355.76</v>
      </c>
      <c r="K19" s="7" t="n">
        <v>411</v>
      </c>
      <c r="L19" s="7" t="n">
        <v>2864847</v>
      </c>
    </row>
    <row r="20" customFormat="false" ht="15" hidden="false" customHeight="false" outlineLevel="0" collapsed="false">
      <c r="A20" s="7" t="s">
        <v>128</v>
      </c>
      <c r="B20" s="7" t="s">
        <v>129</v>
      </c>
      <c r="C20" s="7" t="s">
        <v>130</v>
      </c>
      <c r="D20" s="7" t="s">
        <v>104</v>
      </c>
      <c r="E20" s="7" t="n">
        <v>55.61</v>
      </c>
      <c r="F20" s="7" t="n">
        <v>140.9</v>
      </c>
      <c r="G20" s="7" t="n">
        <v>113.6</v>
      </c>
      <c r="H20" s="7" t="n">
        <v>0.807</v>
      </c>
      <c r="I20" s="7" t="n">
        <v>103001</v>
      </c>
      <c r="J20" s="7" t="n">
        <v>5690954.47</v>
      </c>
      <c r="K20" s="7" t="n">
        <v>338</v>
      </c>
      <c r="L20" s="7" t="n">
        <v>2859819</v>
      </c>
    </row>
    <row r="21" customFormat="false" ht="15" hidden="false" customHeight="false" outlineLevel="0" collapsed="false">
      <c r="A21" s="7" t="s">
        <v>131</v>
      </c>
      <c r="B21" s="7" t="s">
        <v>98</v>
      </c>
      <c r="C21" s="7" t="s">
        <v>118</v>
      </c>
      <c r="D21" s="7" t="s">
        <v>96</v>
      </c>
      <c r="E21" s="7" t="n">
        <v>56.46</v>
      </c>
      <c r="F21" s="7" t="n">
        <v>138.7</v>
      </c>
      <c r="G21" s="7" t="n">
        <v>108.6</v>
      </c>
      <c r="H21" s="7" t="n">
        <v>0.783</v>
      </c>
      <c r="I21" s="7" t="n">
        <v>101392</v>
      </c>
      <c r="J21" s="7" t="n">
        <v>5710513.66</v>
      </c>
      <c r="K21" s="7" t="n">
        <v>137</v>
      </c>
      <c r="L21" s="7" t="n">
        <v>2858275</v>
      </c>
    </row>
    <row r="22" customFormat="false" ht="15" hidden="false" customHeight="false" outlineLevel="0" collapsed="false">
      <c r="A22" s="7" t="s">
        <v>132</v>
      </c>
      <c r="B22" s="7" t="s">
        <v>98</v>
      </c>
      <c r="C22" s="7" t="s">
        <v>133</v>
      </c>
      <c r="D22" s="7" t="s">
        <v>107</v>
      </c>
      <c r="E22" s="7" t="n">
        <v>54.51</v>
      </c>
      <c r="F22" s="7" t="n">
        <v>143</v>
      </c>
      <c r="G22" s="7" t="n">
        <v>107.8</v>
      </c>
      <c r="H22" s="7" t="n">
        <v>0.753</v>
      </c>
      <c r="I22" s="7" t="n">
        <v>104566</v>
      </c>
      <c r="J22" s="7" t="n">
        <v>5609542.36</v>
      </c>
      <c r="K22" s="7" t="n">
        <v>239</v>
      </c>
      <c r="L22" s="7" t="n">
        <v>2846054</v>
      </c>
    </row>
    <row r="23" customFormat="false" ht="15" hidden="false" customHeight="false" outlineLevel="0" collapsed="false">
      <c r="A23" s="7" t="s">
        <v>134</v>
      </c>
      <c r="B23" s="7" t="s">
        <v>102</v>
      </c>
      <c r="C23" s="7" t="s">
        <v>135</v>
      </c>
      <c r="D23" s="7" t="s">
        <v>100</v>
      </c>
      <c r="E23" s="7" t="n">
        <v>53.7</v>
      </c>
      <c r="F23" s="7" t="n">
        <v>145</v>
      </c>
      <c r="G23" s="7" t="n">
        <v>113.6</v>
      </c>
      <c r="H23" s="7" t="n">
        <v>0.783</v>
      </c>
      <c r="I23" s="7" t="n">
        <v>105999</v>
      </c>
      <c r="J23" s="7" t="n">
        <v>5782272.42</v>
      </c>
      <c r="K23" s="7" t="n">
        <v>415</v>
      </c>
      <c r="L23" s="7" t="n">
        <v>2842270</v>
      </c>
    </row>
    <row r="24" customFormat="false" ht="15" hidden="false" customHeight="false" outlineLevel="0" collapsed="false">
      <c r="A24" s="7" t="s">
        <v>136</v>
      </c>
      <c r="B24" s="7" t="s">
        <v>94</v>
      </c>
      <c r="C24" s="7" t="s">
        <v>118</v>
      </c>
      <c r="D24" s="7" t="s">
        <v>115</v>
      </c>
      <c r="E24" s="7" t="n">
        <v>57.02</v>
      </c>
      <c r="F24" s="7" t="n">
        <v>136.6</v>
      </c>
      <c r="G24" s="7" t="n">
        <v>107.5</v>
      </c>
      <c r="H24" s="7" t="n">
        <v>0.787</v>
      </c>
      <c r="I24" s="7" t="n">
        <v>99824</v>
      </c>
      <c r="J24" s="7" t="n">
        <v>5714387.04</v>
      </c>
      <c r="K24" s="7" t="n">
        <v>156</v>
      </c>
      <c r="L24" s="7" t="n">
        <v>2841849</v>
      </c>
    </row>
    <row r="25" customFormat="false" ht="15" hidden="false" customHeight="false" outlineLevel="0" collapsed="false">
      <c r="A25" s="7" t="s">
        <v>137</v>
      </c>
      <c r="B25" s="7" t="s">
        <v>113</v>
      </c>
      <c r="C25" s="7" t="s">
        <v>127</v>
      </c>
      <c r="D25" s="7" t="s">
        <v>115</v>
      </c>
      <c r="E25" s="7" t="n">
        <v>56.52</v>
      </c>
      <c r="F25" s="7" t="n">
        <v>137.2</v>
      </c>
      <c r="G25" s="7" t="n">
        <v>107.1</v>
      </c>
      <c r="H25" s="7" t="n">
        <v>0.78</v>
      </c>
      <c r="I25" s="7" t="n">
        <v>100309</v>
      </c>
      <c r="J25" s="7" t="n">
        <v>5674980.5</v>
      </c>
      <c r="K25" s="7" t="n">
        <v>217</v>
      </c>
      <c r="L25" s="7" t="n">
        <v>2830746</v>
      </c>
    </row>
    <row r="26" customFormat="false" ht="15" hidden="false" customHeight="false" outlineLevel="0" collapsed="false">
      <c r="A26" s="7" t="s">
        <v>138</v>
      </c>
      <c r="B26" s="7" t="s">
        <v>94</v>
      </c>
      <c r="C26" s="7" t="s">
        <v>106</v>
      </c>
      <c r="D26" s="7" t="s">
        <v>96</v>
      </c>
      <c r="E26" s="7" t="n">
        <v>56.3</v>
      </c>
      <c r="F26" s="7" t="n">
        <v>137.4</v>
      </c>
      <c r="G26" s="7" t="n">
        <v>111.2</v>
      </c>
      <c r="H26" s="7" t="n">
        <v>0.809</v>
      </c>
      <c r="I26" s="7" t="n">
        <v>100409</v>
      </c>
      <c r="J26" s="7" t="n">
        <v>5697388.99</v>
      </c>
      <c r="K26" s="7" t="n">
        <v>328</v>
      </c>
      <c r="L26" s="7" t="n">
        <v>2822468</v>
      </c>
    </row>
    <row r="27" customFormat="false" ht="15" hidden="false" customHeight="false" outlineLevel="0" collapsed="false">
      <c r="A27" s="7" t="s">
        <v>139</v>
      </c>
      <c r="B27" s="7" t="s">
        <v>98</v>
      </c>
      <c r="C27" s="7" t="s">
        <v>140</v>
      </c>
      <c r="D27" s="7" t="s">
        <v>100</v>
      </c>
      <c r="E27" s="7" t="n">
        <v>53.98</v>
      </c>
      <c r="F27" s="7" t="n">
        <v>142.7</v>
      </c>
      <c r="G27" s="7" t="n">
        <v>112</v>
      </c>
      <c r="H27" s="7" t="n">
        <v>0.784</v>
      </c>
      <c r="I27" s="7" t="n">
        <v>104350</v>
      </c>
      <c r="J27" s="7" t="n">
        <v>5608285.54</v>
      </c>
      <c r="K27" s="7" t="n">
        <v>388</v>
      </c>
      <c r="L27" s="7" t="n">
        <v>2812768</v>
      </c>
    </row>
    <row r="28" customFormat="false" ht="15" hidden="false" customHeight="false" outlineLevel="0" collapsed="false">
      <c r="A28" s="7" t="s">
        <v>141</v>
      </c>
      <c r="B28" s="7" t="s">
        <v>129</v>
      </c>
      <c r="C28" s="7" t="s">
        <v>111</v>
      </c>
      <c r="D28" s="7" t="s">
        <v>107</v>
      </c>
      <c r="E28" s="7" t="n">
        <v>54.34</v>
      </c>
      <c r="F28" s="7" t="n">
        <v>141.4</v>
      </c>
      <c r="G28" s="7" t="n">
        <v>107.2</v>
      </c>
      <c r="H28" s="7" t="n">
        <v>0.758</v>
      </c>
      <c r="I28" s="7" t="n">
        <v>103393</v>
      </c>
      <c r="J28" s="7" t="n">
        <v>5478106.04</v>
      </c>
      <c r="K28" s="7" t="n">
        <v>69</v>
      </c>
      <c r="L28" s="7" t="n">
        <v>2805194</v>
      </c>
    </row>
    <row r="29" customFormat="false" ht="15" hidden="false" customHeight="false" outlineLevel="0" collapsed="false">
      <c r="A29" s="7" t="s">
        <v>142</v>
      </c>
      <c r="B29" s="7" t="s">
        <v>129</v>
      </c>
      <c r="C29" s="7" t="s">
        <v>103</v>
      </c>
      <c r="D29" s="7" t="s">
        <v>104</v>
      </c>
      <c r="E29" s="7" t="n">
        <v>55.54</v>
      </c>
      <c r="F29" s="7" t="n">
        <v>138.4</v>
      </c>
      <c r="G29" s="7" t="n">
        <v>111.2</v>
      </c>
      <c r="H29" s="7" t="n">
        <v>0.804</v>
      </c>
      <c r="I29" s="7" t="n">
        <v>101144</v>
      </c>
      <c r="J29" s="7" t="n">
        <v>5558112.49</v>
      </c>
      <c r="K29" s="7" t="n">
        <v>242</v>
      </c>
      <c r="L29" s="7" t="n">
        <v>2804996</v>
      </c>
    </row>
    <row r="30" customFormat="false" ht="15" hidden="false" customHeight="false" outlineLevel="0" collapsed="false">
      <c r="A30" s="7" t="s">
        <v>143</v>
      </c>
      <c r="B30" s="7" t="s">
        <v>102</v>
      </c>
      <c r="C30" s="7" t="s">
        <v>114</v>
      </c>
      <c r="D30" s="7" t="s">
        <v>107</v>
      </c>
      <c r="E30" s="7" t="n">
        <v>55.53</v>
      </c>
      <c r="F30" s="7" t="n">
        <v>138.2</v>
      </c>
      <c r="G30" s="7" t="n">
        <v>108.4</v>
      </c>
      <c r="H30" s="7" t="n">
        <v>0.784</v>
      </c>
      <c r="I30" s="7" t="n">
        <v>101059</v>
      </c>
      <c r="J30" s="7" t="n">
        <v>5750178.88</v>
      </c>
      <c r="K30" s="7" t="n">
        <v>258</v>
      </c>
      <c r="L30" s="7" t="n">
        <v>2802155</v>
      </c>
    </row>
    <row r="31" customFormat="false" ht="15" hidden="false" customHeight="false" outlineLevel="0" collapsed="false">
      <c r="A31" s="7" t="s">
        <v>144</v>
      </c>
      <c r="B31" s="7" t="s">
        <v>129</v>
      </c>
      <c r="C31" s="7" t="s">
        <v>145</v>
      </c>
      <c r="D31" s="7" t="s">
        <v>115</v>
      </c>
      <c r="E31" s="7" t="n">
        <v>55.29</v>
      </c>
      <c r="F31" s="7" t="n">
        <v>138.8</v>
      </c>
      <c r="G31" s="7" t="n">
        <v>109.1</v>
      </c>
      <c r="H31" s="7" t="n">
        <v>0.786</v>
      </c>
      <c r="I31" s="7" t="n">
        <v>101475</v>
      </c>
      <c r="J31" s="7" t="n">
        <v>5733514.74</v>
      </c>
      <c r="K31" s="7" t="n">
        <v>191</v>
      </c>
      <c r="L31" s="7" t="n">
        <v>2801243</v>
      </c>
    </row>
    <row r="32" customFormat="false" ht="15" hidden="false" customHeight="false" outlineLevel="0" collapsed="false">
      <c r="A32" s="7" t="s">
        <v>146</v>
      </c>
      <c r="B32" s="7" t="s">
        <v>94</v>
      </c>
      <c r="C32" s="7" t="s">
        <v>99</v>
      </c>
      <c r="D32" s="7" t="s">
        <v>96</v>
      </c>
      <c r="E32" s="7" t="n">
        <v>55.07</v>
      </c>
      <c r="F32" s="7" t="n">
        <v>139.3</v>
      </c>
      <c r="G32" s="7" t="n">
        <v>107.3</v>
      </c>
      <c r="H32" s="7" t="n">
        <v>0.77</v>
      </c>
      <c r="I32" s="7" t="n">
        <v>101844</v>
      </c>
      <c r="J32" s="7" t="n">
        <v>5709841.99</v>
      </c>
      <c r="K32" s="7" t="n">
        <v>389</v>
      </c>
      <c r="L32" s="7" t="n">
        <v>2800571</v>
      </c>
    </row>
    <row r="33" customFormat="false" ht="15" hidden="false" customHeight="false" outlineLevel="0" collapsed="false">
      <c r="A33" s="7" t="s">
        <v>147</v>
      </c>
      <c r="B33" s="7" t="s">
        <v>94</v>
      </c>
      <c r="C33" s="7" t="s">
        <v>103</v>
      </c>
      <c r="D33" s="7" t="s">
        <v>96</v>
      </c>
      <c r="E33" s="7" t="n">
        <v>55.28</v>
      </c>
      <c r="F33" s="7" t="n">
        <v>138.7</v>
      </c>
      <c r="G33" s="7" t="n">
        <v>111.1</v>
      </c>
      <c r="H33" s="7" t="n">
        <v>0.801</v>
      </c>
      <c r="I33" s="7" t="n">
        <v>101370</v>
      </c>
      <c r="J33" s="7" t="n">
        <v>5640823.03</v>
      </c>
      <c r="K33" s="7" t="n">
        <v>117</v>
      </c>
      <c r="L33" s="7" t="n">
        <v>2798035</v>
      </c>
    </row>
    <row r="34" customFormat="false" ht="15" hidden="false" customHeight="false" outlineLevel="0" collapsed="false">
      <c r="A34" s="7" t="s">
        <v>148</v>
      </c>
      <c r="B34" s="7" t="s">
        <v>94</v>
      </c>
      <c r="C34" s="7" t="s">
        <v>127</v>
      </c>
      <c r="D34" s="7" t="s">
        <v>104</v>
      </c>
      <c r="E34" s="7" t="n">
        <v>53.97</v>
      </c>
      <c r="F34" s="7" t="n">
        <v>141.9</v>
      </c>
      <c r="G34" s="7" t="n">
        <v>105.8</v>
      </c>
      <c r="H34" s="7" t="n">
        <v>0.746</v>
      </c>
      <c r="I34" s="7" t="n">
        <v>103703</v>
      </c>
      <c r="J34" s="7" t="n">
        <v>5670306.05</v>
      </c>
      <c r="K34" s="7" t="n">
        <v>372</v>
      </c>
      <c r="L34" s="7" t="n">
        <v>2794396</v>
      </c>
    </row>
    <row r="35" customFormat="false" ht="15" hidden="false" customHeight="false" outlineLevel="0" collapsed="false">
      <c r="A35" s="7" t="s">
        <v>149</v>
      </c>
      <c r="B35" s="7" t="s">
        <v>98</v>
      </c>
      <c r="C35" s="7" t="s">
        <v>103</v>
      </c>
      <c r="D35" s="7" t="s">
        <v>96</v>
      </c>
      <c r="E35" s="7" t="n">
        <v>55.59</v>
      </c>
      <c r="F35" s="7" t="n">
        <v>137.6</v>
      </c>
      <c r="G35" s="7" t="n">
        <v>108.5</v>
      </c>
      <c r="H35" s="7" t="n">
        <v>0.789</v>
      </c>
      <c r="I35" s="7" t="n">
        <v>100552</v>
      </c>
      <c r="J35" s="7" t="n">
        <v>5577727.56</v>
      </c>
      <c r="K35" s="7" t="n">
        <v>417</v>
      </c>
      <c r="L35" s="7" t="n">
        <v>2791072</v>
      </c>
    </row>
    <row r="36" customFormat="false" ht="15" hidden="false" customHeight="false" outlineLevel="0" collapsed="false">
      <c r="A36" s="7" t="s">
        <v>150</v>
      </c>
      <c r="B36" s="7" t="s">
        <v>94</v>
      </c>
      <c r="C36" s="7" t="s">
        <v>151</v>
      </c>
      <c r="D36" s="7" t="s">
        <v>100</v>
      </c>
      <c r="E36" s="7" t="n">
        <v>55.52</v>
      </c>
      <c r="F36" s="7" t="n">
        <v>137.6</v>
      </c>
      <c r="G36" s="7" t="n">
        <v>109.5</v>
      </c>
      <c r="H36" s="7" t="n">
        <v>0.796</v>
      </c>
      <c r="I36" s="7" t="n">
        <v>100551</v>
      </c>
      <c r="J36" s="7" t="n">
        <v>5632538.8</v>
      </c>
      <c r="K36" s="7" t="n">
        <v>308</v>
      </c>
      <c r="L36" s="7" t="n">
        <v>2787681</v>
      </c>
    </row>
    <row r="37" customFormat="false" ht="15" hidden="false" customHeight="false" outlineLevel="0" collapsed="false">
      <c r="A37" s="7" t="s">
        <v>152</v>
      </c>
      <c r="B37" s="7" t="s">
        <v>94</v>
      </c>
      <c r="C37" s="7" t="s">
        <v>153</v>
      </c>
      <c r="D37" s="7" t="s">
        <v>107</v>
      </c>
      <c r="E37" s="7" t="n">
        <v>56.71</v>
      </c>
      <c r="F37" s="7" t="n">
        <v>134.7</v>
      </c>
      <c r="G37" s="7" t="n">
        <v>108.4</v>
      </c>
      <c r="H37" s="7" t="n">
        <v>0.805</v>
      </c>
      <c r="I37" s="7" t="n">
        <v>98432</v>
      </c>
      <c r="J37" s="7" t="n">
        <v>5554938.51</v>
      </c>
      <c r="K37" s="7" t="n">
        <v>495</v>
      </c>
      <c r="L37" s="7" t="n">
        <v>2787396</v>
      </c>
    </row>
    <row r="38" customFormat="false" ht="15" hidden="false" customHeight="false" outlineLevel="0" collapsed="false">
      <c r="A38" s="7" t="s">
        <v>154</v>
      </c>
      <c r="B38" s="7" t="s">
        <v>102</v>
      </c>
      <c r="C38" s="7" t="s">
        <v>145</v>
      </c>
      <c r="D38" s="7" t="s">
        <v>107</v>
      </c>
      <c r="E38" s="7" t="n">
        <v>54.41</v>
      </c>
      <c r="F38" s="7" t="n">
        <v>140.2</v>
      </c>
      <c r="G38" s="7" t="n">
        <v>111.5</v>
      </c>
      <c r="H38" s="7" t="n">
        <v>0.795</v>
      </c>
      <c r="I38" s="7" t="n">
        <v>102482</v>
      </c>
      <c r="J38" s="7" t="n">
        <v>5592705.84</v>
      </c>
      <c r="K38" s="7" t="n">
        <v>151</v>
      </c>
      <c r="L38" s="7" t="n">
        <v>2784106</v>
      </c>
    </row>
    <row r="39" customFormat="false" ht="15" hidden="false" customHeight="false" outlineLevel="0" collapsed="false">
      <c r="A39" s="7" t="s">
        <v>155</v>
      </c>
      <c r="B39" s="7" t="s">
        <v>98</v>
      </c>
      <c r="C39" s="7" t="s">
        <v>109</v>
      </c>
      <c r="D39" s="7" t="s">
        <v>104</v>
      </c>
      <c r="E39" s="7" t="n">
        <v>54.21</v>
      </c>
      <c r="F39" s="7" t="n">
        <v>140.5</v>
      </c>
      <c r="G39" s="7" t="n">
        <v>112.7</v>
      </c>
      <c r="H39" s="7" t="n">
        <v>0.802</v>
      </c>
      <c r="I39" s="7" t="n">
        <v>102682</v>
      </c>
      <c r="J39" s="7" t="n">
        <v>5517292.13</v>
      </c>
      <c r="K39" s="7" t="n">
        <v>496</v>
      </c>
      <c r="L39" s="7" t="n">
        <v>2779247</v>
      </c>
    </row>
    <row r="40" customFormat="false" ht="15" hidden="false" customHeight="false" outlineLevel="0" collapsed="false">
      <c r="A40" s="7" t="s">
        <v>156</v>
      </c>
      <c r="B40" s="7" t="s">
        <v>129</v>
      </c>
      <c r="C40" s="7" t="s">
        <v>106</v>
      </c>
      <c r="D40" s="7" t="s">
        <v>107</v>
      </c>
      <c r="E40" s="7" t="n">
        <v>55.52</v>
      </c>
      <c r="F40" s="7" t="n">
        <v>136.6</v>
      </c>
      <c r="G40" s="7" t="n">
        <v>110.7</v>
      </c>
      <c r="H40" s="7" t="n">
        <v>0.81</v>
      </c>
      <c r="I40" s="7" t="n">
        <v>99870</v>
      </c>
      <c r="J40" s="7" t="n">
        <v>5447767.07</v>
      </c>
      <c r="K40" s="7" t="n">
        <v>293</v>
      </c>
      <c r="L40" s="7" t="n">
        <v>2768707</v>
      </c>
    </row>
    <row r="41" customFormat="false" ht="15" hidden="false" customHeight="false" outlineLevel="0" collapsed="false">
      <c r="A41" s="7" t="s">
        <v>157</v>
      </c>
      <c r="B41" s="7" t="s">
        <v>102</v>
      </c>
      <c r="C41" s="7" t="s">
        <v>130</v>
      </c>
      <c r="D41" s="7" t="s">
        <v>100</v>
      </c>
      <c r="E41" s="7" t="n">
        <v>54.79</v>
      </c>
      <c r="F41" s="7" t="n">
        <v>138.4</v>
      </c>
      <c r="G41" s="7" t="n">
        <v>108.6</v>
      </c>
      <c r="H41" s="7" t="n">
        <v>0.785</v>
      </c>
      <c r="I41" s="7" t="n">
        <v>101190</v>
      </c>
      <c r="J41" s="7" t="n">
        <v>5519104.37</v>
      </c>
      <c r="K41" s="7" t="n">
        <v>133</v>
      </c>
      <c r="L41" s="7" t="n">
        <v>2768539</v>
      </c>
    </row>
    <row r="42" customFormat="false" ht="15" hidden="false" customHeight="false" outlineLevel="0" collapsed="false">
      <c r="A42" s="7" t="s">
        <v>158</v>
      </c>
      <c r="B42" s="7" t="s">
        <v>98</v>
      </c>
      <c r="C42" s="7" t="s">
        <v>114</v>
      </c>
      <c r="D42" s="7" t="s">
        <v>100</v>
      </c>
      <c r="E42" s="7" t="n">
        <v>53.48</v>
      </c>
      <c r="F42" s="7" t="n">
        <v>141.8</v>
      </c>
      <c r="G42" s="7" t="n">
        <v>111.7</v>
      </c>
      <c r="H42" s="7" t="n">
        <v>0.788</v>
      </c>
      <c r="I42" s="7" t="n">
        <v>103641</v>
      </c>
      <c r="J42" s="7" t="n">
        <v>5625287.23</v>
      </c>
      <c r="K42" s="7" t="n">
        <v>166</v>
      </c>
      <c r="L42" s="7" t="n">
        <v>2767570</v>
      </c>
    </row>
    <row r="43" customFormat="false" ht="15" hidden="false" customHeight="false" outlineLevel="0" collapsed="false">
      <c r="A43" s="7" t="s">
        <v>159</v>
      </c>
      <c r="B43" s="7" t="s">
        <v>129</v>
      </c>
      <c r="C43" s="7" t="s">
        <v>133</v>
      </c>
      <c r="D43" s="7" t="s">
        <v>115</v>
      </c>
      <c r="E43" s="7" t="n">
        <v>55.53</v>
      </c>
      <c r="F43" s="7" t="n">
        <v>136.4</v>
      </c>
      <c r="G43" s="7" t="n">
        <v>109</v>
      </c>
      <c r="H43" s="7" t="n">
        <v>0.799</v>
      </c>
      <c r="I43" s="7" t="n">
        <v>99744</v>
      </c>
      <c r="J43" s="7" t="n">
        <v>5461843.24</v>
      </c>
      <c r="K43" s="7" t="n">
        <v>282</v>
      </c>
      <c r="L43" s="7" t="n">
        <v>2765628</v>
      </c>
    </row>
    <row r="44" customFormat="false" ht="15" hidden="false" customHeight="false" outlineLevel="0" collapsed="false">
      <c r="A44" s="7" t="s">
        <v>160</v>
      </c>
      <c r="B44" s="7" t="s">
        <v>113</v>
      </c>
      <c r="C44" s="7" t="s">
        <v>135</v>
      </c>
      <c r="D44" s="7" t="s">
        <v>104</v>
      </c>
      <c r="E44" s="7" t="n">
        <v>54.69</v>
      </c>
      <c r="F44" s="7" t="n">
        <v>138.5</v>
      </c>
      <c r="G44" s="7" t="n">
        <v>111</v>
      </c>
      <c r="H44" s="7" t="n">
        <v>0.801</v>
      </c>
      <c r="I44" s="7" t="n">
        <v>101270</v>
      </c>
      <c r="J44" s="7" t="n">
        <v>5614039.48</v>
      </c>
      <c r="K44" s="7" t="n">
        <v>497</v>
      </c>
      <c r="L44" s="7" t="n">
        <v>2765587</v>
      </c>
    </row>
    <row r="45" customFormat="false" ht="15" hidden="false" customHeight="false" outlineLevel="0" collapsed="false">
      <c r="A45" s="7" t="s">
        <v>161</v>
      </c>
      <c r="B45" s="7" t="s">
        <v>129</v>
      </c>
      <c r="C45" s="7" t="s">
        <v>162</v>
      </c>
      <c r="D45" s="7" t="s">
        <v>115</v>
      </c>
      <c r="E45" s="7" t="n">
        <v>55.13</v>
      </c>
      <c r="F45" s="7" t="n">
        <v>137.1</v>
      </c>
      <c r="G45" s="7" t="n">
        <v>108.7</v>
      </c>
      <c r="H45" s="7" t="n">
        <v>0.793</v>
      </c>
      <c r="I45" s="7" t="n">
        <v>100244</v>
      </c>
      <c r="J45" s="7" t="n">
        <v>5460705.44</v>
      </c>
      <c r="K45" s="7" t="n">
        <v>315</v>
      </c>
      <c r="L45" s="7" t="n">
        <v>2759529</v>
      </c>
    </row>
    <row r="46" customFormat="false" ht="15" hidden="false" customHeight="false" outlineLevel="0" collapsed="false">
      <c r="A46" s="7" t="s">
        <v>163</v>
      </c>
      <c r="B46" s="7" t="s">
        <v>129</v>
      </c>
      <c r="C46" s="7" t="s">
        <v>135</v>
      </c>
      <c r="D46" s="7" t="s">
        <v>100</v>
      </c>
      <c r="E46" s="7" t="n">
        <v>55.06</v>
      </c>
      <c r="F46" s="7" t="n">
        <v>137.3</v>
      </c>
      <c r="G46" s="7" t="n">
        <v>108.2</v>
      </c>
      <c r="H46" s="7" t="n">
        <v>0.788</v>
      </c>
      <c r="I46" s="7" t="n">
        <v>100371</v>
      </c>
      <c r="J46" s="7" t="n">
        <v>5615758.96</v>
      </c>
      <c r="K46" s="7" t="n">
        <v>223</v>
      </c>
      <c r="L46" s="7" t="n">
        <v>2759302</v>
      </c>
    </row>
    <row r="47" customFormat="false" ht="15" hidden="false" customHeight="false" outlineLevel="0" collapsed="false">
      <c r="A47" s="7" t="s">
        <v>164</v>
      </c>
      <c r="B47" s="7" t="s">
        <v>94</v>
      </c>
      <c r="C47" s="7" t="s">
        <v>125</v>
      </c>
      <c r="D47" s="7" t="s">
        <v>115</v>
      </c>
      <c r="E47" s="7" t="n">
        <v>55.97</v>
      </c>
      <c r="F47" s="7" t="n">
        <v>135.1</v>
      </c>
      <c r="G47" s="7" t="n">
        <v>108.7</v>
      </c>
      <c r="H47" s="7" t="n">
        <v>0.805</v>
      </c>
      <c r="I47" s="7" t="n">
        <v>98724</v>
      </c>
      <c r="J47" s="7" t="n">
        <v>5521576.54</v>
      </c>
      <c r="K47" s="7" t="n">
        <v>374</v>
      </c>
      <c r="L47" s="7" t="n">
        <v>2759190</v>
      </c>
    </row>
    <row r="48" customFormat="false" ht="15" hidden="false" customHeight="false" outlineLevel="0" collapsed="false">
      <c r="A48" s="7" t="s">
        <v>165</v>
      </c>
      <c r="B48" s="7" t="s">
        <v>94</v>
      </c>
      <c r="C48" s="7" t="s">
        <v>133</v>
      </c>
      <c r="D48" s="7" t="s">
        <v>100</v>
      </c>
      <c r="E48" s="7" t="n">
        <v>55.04</v>
      </c>
      <c r="F48" s="7" t="n">
        <v>137.3</v>
      </c>
      <c r="G48" s="7" t="n">
        <v>108.6</v>
      </c>
      <c r="H48" s="7" t="n">
        <v>0.791</v>
      </c>
      <c r="I48" s="7" t="n">
        <v>100358</v>
      </c>
      <c r="J48" s="7" t="n">
        <v>5465469.8</v>
      </c>
      <c r="K48" s="7" t="n">
        <v>313</v>
      </c>
      <c r="L48" s="7" t="n">
        <v>2757933</v>
      </c>
    </row>
    <row r="49" customFormat="false" ht="15" hidden="false" customHeight="false" outlineLevel="0" collapsed="false">
      <c r="A49" s="7" t="s">
        <v>166</v>
      </c>
      <c r="B49" s="7" t="s">
        <v>94</v>
      </c>
      <c r="C49" s="7" t="s">
        <v>114</v>
      </c>
      <c r="D49" s="7" t="s">
        <v>100</v>
      </c>
      <c r="E49" s="7" t="n">
        <v>54.22</v>
      </c>
      <c r="F49" s="7" t="n">
        <v>139.3</v>
      </c>
      <c r="G49" s="7" t="n">
        <v>111.6</v>
      </c>
      <c r="H49" s="7" t="n">
        <v>0.801</v>
      </c>
      <c r="I49" s="7" t="n">
        <v>101821</v>
      </c>
      <c r="J49" s="7" t="n">
        <v>5622557.21</v>
      </c>
      <c r="K49" s="7" t="n">
        <v>96</v>
      </c>
      <c r="L49" s="7" t="n">
        <v>2756382</v>
      </c>
    </row>
    <row r="50" customFormat="false" ht="15" hidden="false" customHeight="false" outlineLevel="0" collapsed="false">
      <c r="A50" s="7" t="s">
        <v>167</v>
      </c>
      <c r="B50" s="7" t="s">
        <v>113</v>
      </c>
      <c r="C50" s="7" t="s">
        <v>162</v>
      </c>
      <c r="D50" s="7" t="s">
        <v>104</v>
      </c>
      <c r="E50" s="7" t="n">
        <v>56.1</v>
      </c>
      <c r="F50" s="7" t="n">
        <v>134.6</v>
      </c>
      <c r="G50" s="7" t="n">
        <v>106.9</v>
      </c>
      <c r="H50" s="7" t="n">
        <v>0.795</v>
      </c>
      <c r="I50" s="7" t="n">
        <v>98371</v>
      </c>
      <c r="J50" s="7" t="n">
        <v>5492133.62</v>
      </c>
      <c r="K50" s="7" t="n">
        <v>390</v>
      </c>
      <c r="L50" s="7" t="n">
        <v>2755571</v>
      </c>
    </row>
    <row r="51" customFormat="false" ht="15" hidden="false" customHeight="false" outlineLevel="0" collapsed="false">
      <c r="A51" s="7" t="s">
        <v>168</v>
      </c>
      <c r="B51" s="7" t="s">
        <v>94</v>
      </c>
      <c r="C51" s="7" t="s">
        <v>120</v>
      </c>
      <c r="D51" s="7" t="s">
        <v>96</v>
      </c>
      <c r="E51" s="7" t="n">
        <v>54.5</v>
      </c>
      <c r="F51" s="7" t="n">
        <v>138.4</v>
      </c>
      <c r="G51" s="7" t="n">
        <v>111.9</v>
      </c>
      <c r="H51" s="7" t="n">
        <v>0.808</v>
      </c>
      <c r="I51" s="7" t="n">
        <v>101198</v>
      </c>
      <c r="J51" s="7" t="n">
        <v>5500508.35</v>
      </c>
      <c r="K51" s="7" t="n">
        <v>59</v>
      </c>
      <c r="L51" s="7" t="n">
        <v>2754109</v>
      </c>
    </row>
    <row r="52" customFormat="false" ht="15" hidden="false" customHeight="false" outlineLevel="0" collapsed="false">
      <c r="A52" s="7" t="s">
        <v>169</v>
      </c>
      <c r="B52" s="7" t="s">
        <v>94</v>
      </c>
      <c r="C52" s="7" t="s">
        <v>109</v>
      </c>
      <c r="D52" s="7" t="s">
        <v>107</v>
      </c>
      <c r="E52" s="7" t="n">
        <v>55.37</v>
      </c>
      <c r="F52" s="7" t="n">
        <v>136.2</v>
      </c>
      <c r="G52" s="7" t="n">
        <v>107.8</v>
      </c>
      <c r="H52" s="7" t="n">
        <v>0.791</v>
      </c>
      <c r="I52" s="7" t="n">
        <v>99558</v>
      </c>
      <c r="J52" s="7" t="n">
        <v>5559056.15</v>
      </c>
      <c r="K52" s="7" t="n">
        <v>319</v>
      </c>
      <c r="L52" s="7" t="n">
        <v>2752573</v>
      </c>
    </row>
    <row r="53" customFormat="false" ht="15" hidden="false" customHeight="false" outlineLevel="0" collapsed="false">
      <c r="A53" s="7" t="s">
        <v>170</v>
      </c>
      <c r="B53" s="7" t="s">
        <v>129</v>
      </c>
      <c r="C53" s="7" t="s">
        <v>120</v>
      </c>
      <c r="D53" s="7" t="s">
        <v>104</v>
      </c>
      <c r="E53" s="7" t="n">
        <v>54.7</v>
      </c>
      <c r="F53" s="7" t="n">
        <v>137.8</v>
      </c>
      <c r="G53" s="7" t="n">
        <v>111.2</v>
      </c>
      <c r="H53" s="7" t="n">
        <v>0.807</v>
      </c>
      <c r="I53" s="7" t="n">
        <v>100749</v>
      </c>
      <c r="J53" s="7" t="n">
        <v>5494502.77</v>
      </c>
      <c r="K53" s="7" t="n">
        <v>256</v>
      </c>
      <c r="L53" s="7" t="n">
        <v>2751893</v>
      </c>
    </row>
    <row r="54" customFormat="false" ht="15" hidden="false" customHeight="false" outlineLevel="0" collapsed="false">
      <c r="A54" s="7" t="s">
        <v>171</v>
      </c>
      <c r="B54" s="7" t="s">
        <v>113</v>
      </c>
      <c r="C54" s="7" t="s">
        <v>151</v>
      </c>
      <c r="D54" s="7" t="s">
        <v>96</v>
      </c>
      <c r="E54" s="7" t="n">
        <v>54.7</v>
      </c>
      <c r="F54" s="7" t="n">
        <v>137.8</v>
      </c>
      <c r="G54" s="7" t="n">
        <v>111.1</v>
      </c>
      <c r="H54" s="7" t="n">
        <v>0.807</v>
      </c>
      <c r="I54" s="7" t="n">
        <v>100728</v>
      </c>
      <c r="J54" s="7" t="n">
        <v>5518315.96</v>
      </c>
      <c r="K54" s="7" t="n">
        <v>382</v>
      </c>
      <c r="L54" s="7" t="n">
        <v>2751058</v>
      </c>
    </row>
    <row r="55" customFormat="false" ht="15" hidden="false" customHeight="false" outlineLevel="0" collapsed="false">
      <c r="A55" s="7" t="s">
        <v>172</v>
      </c>
      <c r="B55" s="7" t="s">
        <v>129</v>
      </c>
      <c r="C55" s="7" t="s">
        <v>95</v>
      </c>
      <c r="D55" s="7" t="s">
        <v>96</v>
      </c>
      <c r="E55" s="7" t="n">
        <v>54.65</v>
      </c>
      <c r="F55" s="7" t="n">
        <v>137.9</v>
      </c>
      <c r="G55" s="7" t="n">
        <v>112.8</v>
      </c>
      <c r="H55" s="7" t="n">
        <v>0.818</v>
      </c>
      <c r="I55" s="7" t="n">
        <v>100795</v>
      </c>
      <c r="J55" s="7" t="n">
        <v>5458171.86</v>
      </c>
      <c r="K55" s="7" t="n">
        <v>356</v>
      </c>
      <c r="L55" s="7" t="n">
        <v>2750307</v>
      </c>
    </row>
    <row r="56" customFormat="false" ht="15" hidden="false" customHeight="false" outlineLevel="0" collapsed="false">
      <c r="A56" s="7" t="s">
        <v>173</v>
      </c>
      <c r="B56" s="7" t="s">
        <v>94</v>
      </c>
      <c r="C56" s="7" t="s">
        <v>130</v>
      </c>
      <c r="D56" s="7" t="s">
        <v>96</v>
      </c>
      <c r="E56" s="7" t="n">
        <v>55.67</v>
      </c>
      <c r="F56" s="7" t="n">
        <v>135.2</v>
      </c>
      <c r="G56" s="7" t="n">
        <v>111.8</v>
      </c>
      <c r="H56" s="7" t="n">
        <v>0.827</v>
      </c>
      <c r="I56" s="7" t="n">
        <v>98836</v>
      </c>
      <c r="J56" s="7" t="n">
        <v>5524978.21</v>
      </c>
      <c r="K56" s="7" t="n">
        <v>158</v>
      </c>
      <c r="L56" s="7" t="n">
        <v>2747121</v>
      </c>
    </row>
    <row r="57" customFormat="false" ht="15" hidden="false" customHeight="false" outlineLevel="0" collapsed="false">
      <c r="A57" s="7" t="s">
        <v>174</v>
      </c>
      <c r="B57" s="7" t="s">
        <v>102</v>
      </c>
      <c r="C57" s="7" t="s">
        <v>120</v>
      </c>
      <c r="D57" s="7" t="s">
        <v>107</v>
      </c>
      <c r="E57" s="7" t="n">
        <v>54.65</v>
      </c>
      <c r="F57" s="7" t="n">
        <v>137.6</v>
      </c>
      <c r="G57" s="7" t="n">
        <v>112.8</v>
      </c>
      <c r="H57" s="7" t="n">
        <v>0.819</v>
      </c>
      <c r="I57" s="7" t="n">
        <v>100601</v>
      </c>
      <c r="J57" s="7" t="n">
        <v>5588503.51</v>
      </c>
      <c r="K57" s="7" t="n">
        <v>53</v>
      </c>
      <c r="L57" s="7" t="n">
        <v>2745111</v>
      </c>
    </row>
    <row r="58" customFormat="false" ht="15" hidden="false" customHeight="false" outlineLevel="0" collapsed="false">
      <c r="A58" s="7" t="s">
        <v>175</v>
      </c>
      <c r="B58" s="7" t="s">
        <v>98</v>
      </c>
      <c r="C58" s="7" t="s">
        <v>95</v>
      </c>
      <c r="D58" s="7" t="s">
        <v>115</v>
      </c>
      <c r="E58" s="7" t="n">
        <v>54.27</v>
      </c>
      <c r="F58" s="7" t="n">
        <v>138.3</v>
      </c>
      <c r="G58" s="7" t="n">
        <v>108</v>
      </c>
      <c r="H58" s="7" t="n">
        <v>0.781</v>
      </c>
      <c r="I58" s="7" t="n">
        <v>101119</v>
      </c>
      <c r="J58" s="7" t="n">
        <v>5405253.51</v>
      </c>
      <c r="K58" s="7" t="n">
        <v>270</v>
      </c>
      <c r="L58" s="7" t="n">
        <v>2739916</v>
      </c>
    </row>
    <row r="59" customFormat="false" ht="15" hidden="false" customHeight="false" outlineLevel="0" collapsed="false">
      <c r="A59" s="7" t="s">
        <v>176</v>
      </c>
      <c r="B59" s="7" t="s">
        <v>98</v>
      </c>
      <c r="C59" s="7" t="s">
        <v>151</v>
      </c>
      <c r="D59" s="7" t="s">
        <v>96</v>
      </c>
      <c r="E59" s="7" t="n">
        <v>55.11</v>
      </c>
      <c r="F59" s="7" t="n">
        <v>136</v>
      </c>
      <c r="G59" s="7" t="n">
        <v>109.3</v>
      </c>
      <c r="H59" s="7" t="n">
        <v>0.804</v>
      </c>
      <c r="I59" s="7" t="n">
        <v>99422</v>
      </c>
      <c r="J59" s="7" t="n">
        <v>5377834.54</v>
      </c>
      <c r="K59" s="7" t="n">
        <v>413</v>
      </c>
      <c r="L59" s="7" t="n">
        <v>2735812</v>
      </c>
    </row>
    <row r="60" customFormat="false" ht="15" hidden="false" customHeight="false" outlineLevel="0" collapsed="false">
      <c r="A60" s="7" t="s">
        <v>177</v>
      </c>
      <c r="B60" s="7" t="s">
        <v>129</v>
      </c>
      <c r="C60" s="7" t="s">
        <v>151</v>
      </c>
      <c r="D60" s="7" t="s">
        <v>96</v>
      </c>
      <c r="E60" s="7" t="n">
        <v>56.62</v>
      </c>
      <c r="F60" s="7" t="n">
        <v>132.4</v>
      </c>
      <c r="G60" s="7" t="n">
        <v>105.9</v>
      </c>
      <c r="H60" s="7" t="n">
        <v>0.8</v>
      </c>
      <c r="I60" s="7" t="n">
        <v>96756</v>
      </c>
      <c r="J60" s="7" t="n">
        <v>5450054.48</v>
      </c>
      <c r="K60" s="7" t="n">
        <v>167</v>
      </c>
      <c r="L60" s="7" t="n">
        <v>2735438</v>
      </c>
    </row>
    <row r="61" customFormat="false" ht="15" hidden="false" customHeight="false" outlineLevel="0" collapsed="false">
      <c r="A61" s="7" t="s">
        <v>178</v>
      </c>
      <c r="B61" s="7" t="s">
        <v>113</v>
      </c>
      <c r="C61" s="7" t="s">
        <v>153</v>
      </c>
      <c r="D61" s="7" t="s">
        <v>107</v>
      </c>
      <c r="E61" s="7" t="n">
        <v>56.86</v>
      </c>
      <c r="F61" s="7" t="n">
        <v>131.8</v>
      </c>
      <c r="G61" s="7" t="n">
        <v>104</v>
      </c>
      <c r="H61" s="7" t="n">
        <v>0.789</v>
      </c>
      <c r="I61" s="7" t="n">
        <v>96327</v>
      </c>
      <c r="J61" s="7" t="n">
        <v>5389198.22</v>
      </c>
      <c r="K61" s="7" t="n">
        <v>85</v>
      </c>
      <c r="L61" s="7" t="n">
        <v>2734883</v>
      </c>
    </row>
    <row r="62" customFormat="false" ht="15" hidden="false" customHeight="false" outlineLevel="0" collapsed="false">
      <c r="A62" s="7" t="s">
        <v>179</v>
      </c>
      <c r="B62" s="7" t="s">
        <v>94</v>
      </c>
      <c r="C62" s="7" t="s">
        <v>122</v>
      </c>
      <c r="D62" s="7" t="s">
        <v>100</v>
      </c>
      <c r="E62" s="7" t="n">
        <v>55.4</v>
      </c>
      <c r="F62" s="7" t="n">
        <v>135.3</v>
      </c>
      <c r="G62" s="7" t="n">
        <v>107.2</v>
      </c>
      <c r="H62" s="7" t="n">
        <v>0.792</v>
      </c>
      <c r="I62" s="7" t="n">
        <v>98871</v>
      </c>
      <c r="J62" s="7" t="n">
        <v>5494422.9</v>
      </c>
      <c r="K62" s="7" t="n">
        <v>491</v>
      </c>
      <c r="L62" s="7" t="n">
        <v>2734751</v>
      </c>
    </row>
    <row r="63" customFormat="false" ht="15" hidden="false" customHeight="false" outlineLevel="0" collapsed="false">
      <c r="A63" s="7" t="s">
        <v>180</v>
      </c>
      <c r="B63" s="7" t="s">
        <v>113</v>
      </c>
      <c r="C63" s="7" t="s">
        <v>125</v>
      </c>
      <c r="D63" s="7" t="s">
        <v>96</v>
      </c>
      <c r="E63" s="7" t="n">
        <v>54.86</v>
      </c>
      <c r="F63" s="7" t="n">
        <v>136.5</v>
      </c>
      <c r="G63" s="7" t="n">
        <v>110.6</v>
      </c>
      <c r="H63" s="7" t="n">
        <v>0.81</v>
      </c>
      <c r="I63" s="7" t="n">
        <v>99798</v>
      </c>
      <c r="J63" s="7" t="n">
        <v>5506190.29</v>
      </c>
      <c r="K63" s="7" t="n">
        <v>65</v>
      </c>
      <c r="L63" s="7" t="n">
        <v>2733720</v>
      </c>
    </row>
    <row r="64" customFormat="false" ht="15" hidden="false" customHeight="false" outlineLevel="0" collapsed="false">
      <c r="A64" s="7" t="s">
        <v>181</v>
      </c>
      <c r="B64" s="7" t="s">
        <v>102</v>
      </c>
      <c r="C64" s="7" t="s">
        <v>106</v>
      </c>
      <c r="D64" s="7" t="s">
        <v>104</v>
      </c>
      <c r="E64" s="7" t="n">
        <v>55.68</v>
      </c>
      <c r="F64" s="7" t="n">
        <v>134.4</v>
      </c>
      <c r="G64" s="7" t="n">
        <v>105</v>
      </c>
      <c r="H64" s="7" t="n">
        <v>0.781</v>
      </c>
      <c r="I64" s="7" t="n">
        <v>98251</v>
      </c>
      <c r="J64" s="7" t="n">
        <v>5467445.92</v>
      </c>
      <c r="K64" s="7" t="n">
        <v>342</v>
      </c>
      <c r="L64" s="7" t="n">
        <v>2731410</v>
      </c>
    </row>
    <row r="65" customFormat="false" ht="15" hidden="false" customHeight="false" outlineLevel="0" collapsed="false">
      <c r="A65" s="7" t="s">
        <v>182</v>
      </c>
      <c r="B65" s="7" t="s">
        <v>98</v>
      </c>
      <c r="C65" s="7" t="s">
        <v>153</v>
      </c>
      <c r="D65" s="7" t="s">
        <v>100</v>
      </c>
      <c r="E65" s="7" t="n">
        <v>54.29</v>
      </c>
      <c r="F65" s="7" t="n">
        <v>137.5</v>
      </c>
      <c r="G65" s="7" t="n">
        <v>111.9</v>
      </c>
      <c r="H65" s="7" t="n">
        <v>0.814</v>
      </c>
      <c r="I65" s="7" t="n">
        <v>100529</v>
      </c>
      <c r="J65" s="7" t="n">
        <v>5452326.44</v>
      </c>
      <c r="K65" s="7" t="n">
        <v>108</v>
      </c>
      <c r="L65" s="7" t="n">
        <v>2725085</v>
      </c>
    </row>
    <row r="66" customFormat="false" ht="15" hidden="false" customHeight="false" outlineLevel="0" collapsed="false">
      <c r="A66" s="7" t="s">
        <v>183</v>
      </c>
      <c r="B66" s="7" t="s">
        <v>102</v>
      </c>
      <c r="C66" s="7" t="s">
        <v>127</v>
      </c>
      <c r="D66" s="7" t="s">
        <v>100</v>
      </c>
      <c r="E66" s="7" t="n">
        <v>56.31</v>
      </c>
      <c r="F66" s="7" t="n">
        <v>132.6</v>
      </c>
      <c r="G66" s="7" t="n">
        <v>104.4</v>
      </c>
      <c r="H66" s="7" t="n">
        <v>0.788</v>
      </c>
      <c r="I66" s="7" t="n">
        <v>96910</v>
      </c>
      <c r="J66" s="7" t="n">
        <v>5531804.75</v>
      </c>
      <c r="K66" s="7" t="n">
        <v>464</v>
      </c>
      <c r="L66" s="7" t="n">
        <v>2724678</v>
      </c>
    </row>
    <row r="67" customFormat="false" ht="15" hidden="false" customHeight="false" outlineLevel="0" collapsed="false">
      <c r="A67" s="7" t="s">
        <v>184</v>
      </c>
      <c r="B67" s="7" t="s">
        <v>113</v>
      </c>
      <c r="C67" s="7" t="s">
        <v>109</v>
      </c>
      <c r="D67" s="7" t="s">
        <v>115</v>
      </c>
      <c r="E67" s="7" t="n">
        <v>55.33</v>
      </c>
      <c r="F67" s="7" t="n">
        <v>134.6</v>
      </c>
      <c r="G67" s="7" t="n">
        <v>112.5</v>
      </c>
      <c r="H67" s="7" t="n">
        <v>0.836</v>
      </c>
      <c r="I67" s="7" t="n">
        <v>98390</v>
      </c>
      <c r="J67" s="7" t="n">
        <v>5313389.07</v>
      </c>
      <c r="K67" s="7" t="n">
        <v>115</v>
      </c>
      <c r="L67" s="7" t="n">
        <v>2718086</v>
      </c>
    </row>
    <row r="68" customFormat="false" ht="15" hidden="false" customHeight="false" outlineLevel="0" collapsed="false">
      <c r="A68" s="7" t="s">
        <v>185</v>
      </c>
      <c r="B68" s="7" t="s">
        <v>113</v>
      </c>
      <c r="C68" s="7" t="s">
        <v>133</v>
      </c>
      <c r="D68" s="7" t="s">
        <v>115</v>
      </c>
      <c r="E68" s="7" t="n">
        <v>54.87</v>
      </c>
      <c r="F68" s="7" t="n">
        <v>135.6</v>
      </c>
      <c r="G68" s="7" t="n">
        <v>107.6</v>
      </c>
      <c r="H68" s="7" t="n">
        <v>0.794</v>
      </c>
      <c r="I68" s="7" t="n">
        <v>99123</v>
      </c>
      <c r="J68" s="7" t="n">
        <v>5366234.42</v>
      </c>
      <c r="K68" s="7" t="n">
        <v>100</v>
      </c>
      <c r="L68" s="7" t="n">
        <v>2715818</v>
      </c>
    </row>
    <row r="69" customFormat="false" ht="15" hidden="false" customHeight="false" outlineLevel="0" collapsed="false">
      <c r="A69" s="7" t="s">
        <v>186</v>
      </c>
      <c r="B69" s="7" t="s">
        <v>113</v>
      </c>
      <c r="C69" s="7" t="s">
        <v>122</v>
      </c>
      <c r="D69" s="7" t="s">
        <v>107</v>
      </c>
      <c r="E69" s="7" t="n">
        <v>52.69</v>
      </c>
      <c r="F69" s="7" t="n">
        <v>141.1</v>
      </c>
      <c r="G69" s="7" t="n">
        <v>108.4</v>
      </c>
      <c r="H69" s="7" t="n">
        <v>0.768</v>
      </c>
      <c r="I69" s="7" t="n">
        <v>103147</v>
      </c>
      <c r="J69" s="7" t="n">
        <v>5412187.63</v>
      </c>
      <c r="K69" s="7" t="n">
        <v>364</v>
      </c>
      <c r="L69" s="7" t="n">
        <v>2713847</v>
      </c>
    </row>
    <row r="70" customFormat="false" ht="15" hidden="false" customHeight="false" outlineLevel="0" collapsed="false">
      <c r="A70" s="7" t="s">
        <v>187</v>
      </c>
      <c r="B70" s="7" t="s">
        <v>102</v>
      </c>
      <c r="C70" s="7" t="s">
        <v>151</v>
      </c>
      <c r="D70" s="7" t="s">
        <v>104</v>
      </c>
      <c r="E70" s="7" t="n">
        <v>54.85</v>
      </c>
      <c r="F70" s="7" t="n">
        <v>135.4</v>
      </c>
      <c r="G70" s="7" t="n">
        <v>112.9</v>
      </c>
      <c r="H70" s="7" t="n">
        <v>0.833</v>
      </c>
      <c r="I70" s="7" t="n">
        <v>99012</v>
      </c>
      <c r="J70" s="7" t="n">
        <v>5270108.97</v>
      </c>
      <c r="K70" s="7" t="n">
        <v>419</v>
      </c>
      <c r="L70" s="7" t="n">
        <v>2711809</v>
      </c>
    </row>
    <row r="71" customFormat="false" ht="15" hidden="false" customHeight="false" outlineLevel="0" collapsed="false">
      <c r="A71" s="7" t="s">
        <v>188</v>
      </c>
      <c r="B71" s="7" t="s">
        <v>129</v>
      </c>
      <c r="C71" s="7" t="s">
        <v>114</v>
      </c>
      <c r="D71" s="7" t="s">
        <v>104</v>
      </c>
      <c r="E71" s="7" t="n">
        <v>55.88</v>
      </c>
      <c r="F71" s="7" t="n">
        <v>132.9</v>
      </c>
      <c r="G71" s="7" t="n">
        <v>107.5</v>
      </c>
      <c r="H71" s="7" t="n">
        <v>0.809</v>
      </c>
      <c r="I71" s="7" t="n">
        <v>97174</v>
      </c>
      <c r="J71" s="7" t="n">
        <v>5364234.84</v>
      </c>
      <c r="K71" s="7" t="n">
        <v>74</v>
      </c>
      <c r="L71" s="7" t="n">
        <v>2711386</v>
      </c>
    </row>
    <row r="72" customFormat="false" ht="15" hidden="false" customHeight="false" outlineLevel="0" collapsed="false">
      <c r="A72" s="7" t="s">
        <v>189</v>
      </c>
      <c r="B72" s="7" t="s">
        <v>113</v>
      </c>
      <c r="C72" s="7" t="s">
        <v>95</v>
      </c>
      <c r="D72" s="7" t="s">
        <v>100</v>
      </c>
      <c r="E72" s="7" t="n">
        <v>53.93</v>
      </c>
      <c r="F72" s="7" t="n">
        <v>137.7</v>
      </c>
      <c r="G72" s="7" t="n">
        <v>108.2</v>
      </c>
      <c r="H72" s="7" t="n">
        <v>0.786</v>
      </c>
      <c r="I72" s="7" t="n">
        <v>100664</v>
      </c>
      <c r="J72" s="7" t="n">
        <v>5509431.14</v>
      </c>
      <c r="K72" s="7" t="n">
        <v>56</v>
      </c>
      <c r="L72" s="7" t="n">
        <v>2710590</v>
      </c>
    </row>
    <row r="73" customFormat="false" ht="15" hidden="false" customHeight="false" outlineLevel="0" collapsed="false">
      <c r="A73" s="7" t="s">
        <v>190</v>
      </c>
      <c r="B73" s="7" t="s">
        <v>129</v>
      </c>
      <c r="C73" s="7" t="s">
        <v>125</v>
      </c>
      <c r="D73" s="7" t="s">
        <v>96</v>
      </c>
      <c r="E73" s="7" t="n">
        <v>55.12</v>
      </c>
      <c r="F73" s="7" t="n">
        <v>134.7</v>
      </c>
      <c r="G73" s="7" t="n">
        <v>109.5</v>
      </c>
      <c r="H73" s="7" t="n">
        <v>0.813</v>
      </c>
      <c r="I73" s="7" t="n">
        <v>98488</v>
      </c>
      <c r="J73" s="7" t="n">
        <v>5315010.97</v>
      </c>
      <c r="K73" s="7" t="n">
        <v>149</v>
      </c>
      <c r="L73" s="7" t="n">
        <v>2710432</v>
      </c>
    </row>
    <row r="74" customFormat="false" ht="15" hidden="false" customHeight="false" outlineLevel="0" collapsed="false">
      <c r="A74" s="7" t="s">
        <v>191</v>
      </c>
      <c r="B74" s="7" t="s">
        <v>102</v>
      </c>
      <c r="C74" s="7" t="s">
        <v>153</v>
      </c>
      <c r="D74" s="7" t="s">
        <v>100</v>
      </c>
      <c r="E74" s="7" t="n">
        <v>52.9</v>
      </c>
      <c r="F74" s="7" t="n">
        <v>140.3</v>
      </c>
      <c r="G74" s="7" t="n">
        <v>111.8</v>
      </c>
      <c r="H74" s="7" t="n">
        <v>0.797</v>
      </c>
      <c r="I74" s="7" t="n">
        <v>102528</v>
      </c>
      <c r="J74" s="7" t="n">
        <v>5425353.86</v>
      </c>
      <c r="K74" s="7" t="n">
        <v>193</v>
      </c>
      <c r="L74" s="7" t="n">
        <v>2708199</v>
      </c>
    </row>
    <row r="75" customFormat="false" ht="15" hidden="false" customHeight="false" outlineLevel="0" collapsed="false">
      <c r="A75" s="7" t="s">
        <v>192</v>
      </c>
      <c r="B75" s="7" t="s">
        <v>113</v>
      </c>
      <c r="C75" s="7" t="s">
        <v>130</v>
      </c>
      <c r="D75" s="7" t="s">
        <v>107</v>
      </c>
      <c r="E75" s="7" t="n">
        <v>56.54</v>
      </c>
      <c r="F75" s="7" t="n">
        <v>131.1</v>
      </c>
      <c r="G75" s="7" t="n">
        <v>107.1</v>
      </c>
      <c r="H75" s="7" t="n">
        <v>0.817</v>
      </c>
      <c r="I75" s="7" t="n">
        <v>95814</v>
      </c>
      <c r="J75" s="7" t="n">
        <v>5369832.66</v>
      </c>
      <c r="K75" s="7" t="n">
        <v>105</v>
      </c>
      <c r="L75" s="7" t="n">
        <v>2705085</v>
      </c>
    </row>
    <row r="76" customFormat="false" ht="15" hidden="false" customHeight="false" outlineLevel="0" collapsed="false">
      <c r="A76" s="7" t="s">
        <v>193</v>
      </c>
      <c r="B76" s="7" t="s">
        <v>102</v>
      </c>
      <c r="C76" s="7" t="s">
        <v>99</v>
      </c>
      <c r="D76" s="7" t="s">
        <v>104</v>
      </c>
      <c r="E76" s="7" t="n">
        <v>55.18</v>
      </c>
      <c r="F76" s="7" t="n">
        <v>134.2</v>
      </c>
      <c r="G76" s="7" t="n">
        <v>106.2</v>
      </c>
      <c r="H76" s="7" t="n">
        <v>0.791</v>
      </c>
      <c r="I76" s="7" t="n">
        <v>98116</v>
      </c>
      <c r="J76" s="7" t="n">
        <v>5480070.48</v>
      </c>
      <c r="K76" s="7" t="n">
        <v>472</v>
      </c>
      <c r="L76" s="7" t="n">
        <v>2703314</v>
      </c>
    </row>
    <row r="77" customFormat="false" ht="15" hidden="false" customHeight="false" outlineLevel="0" collapsed="false">
      <c r="A77" s="7" t="s">
        <v>194</v>
      </c>
      <c r="B77" s="7" t="s">
        <v>94</v>
      </c>
      <c r="C77" s="7" t="s">
        <v>162</v>
      </c>
      <c r="D77" s="7" t="s">
        <v>115</v>
      </c>
      <c r="E77" s="7" t="n">
        <v>55.26</v>
      </c>
      <c r="F77" s="7" t="n">
        <v>133.9</v>
      </c>
      <c r="G77" s="7" t="n">
        <v>111.2</v>
      </c>
      <c r="H77" s="7" t="n">
        <v>0.831</v>
      </c>
      <c r="I77" s="7" t="n">
        <v>97859</v>
      </c>
      <c r="J77" s="7" t="n">
        <v>5374833.89</v>
      </c>
      <c r="K77" s="7" t="n">
        <v>409</v>
      </c>
      <c r="L77" s="7" t="n">
        <v>2700186</v>
      </c>
    </row>
    <row r="78" customFormat="false" ht="15" hidden="false" customHeight="false" outlineLevel="0" collapsed="false">
      <c r="A78" s="7" t="s">
        <v>195</v>
      </c>
      <c r="B78" s="7" t="s">
        <v>113</v>
      </c>
      <c r="C78" s="7" t="s">
        <v>103</v>
      </c>
      <c r="D78" s="7" t="s">
        <v>104</v>
      </c>
      <c r="E78" s="7" t="n">
        <v>54.34</v>
      </c>
      <c r="F78" s="7" t="n">
        <v>135.8</v>
      </c>
      <c r="G78" s="7" t="n">
        <v>106.7</v>
      </c>
      <c r="H78" s="7" t="n">
        <v>0.786</v>
      </c>
      <c r="I78" s="7" t="n">
        <v>99299</v>
      </c>
      <c r="J78" s="7" t="n">
        <v>5359049.61</v>
      </c>
      <c r="K78" s="7" t="n">
        <v>249</v>
      </c>
      <c r="L78" s="7" t="n">
        <v>2694122</v>
      </c>
    </row>
    <row r="79" customFormat="false" ht="15" hidden="false" customHeight="false" outlineLevel="0" collapsed="false">
      <c r="A79" s="7" t="s">
        <v>196</v>
      </c>
      <c r="B79" s="7" t="s">
        <v>94</v>
      </c>
      <c r="C79" s="7" t="s">
        <v>145</v>
      </c>
      <c r="D79" s="7" t="s">
        <v>96</v>
      </c>
      <c r="E79" s="7" t="n">
        <v>55</v>
      </c>
      <c r="F79" s="7" t="n">
        <v>134.2</v>
      </c>
      <c r="G79" s="7" t="n">
        <v>109.8</v>
      </c>
      <c r="H79" s="7" t="n">
        <v>0.818</v>
      </c>
      <c r="I79" s="7" t="n">
        <v>98064</v>
      </c>
      <c r="J79" s="7" t="n">
        <v>5498957.52</v>
      </c>
      <c r="K79" s="7" t="n">
        <v>278</v>
      </c>
      <c r="L79" s="7" t="n">
        <v>2693090</v>
      </c>
    </row>
    <row r="80" customFormat="false" ht="15" hidden="false" customHeight="false" outlineLevel="0" collapsed="false">
      <c r="A80" s="7" t="s">
        <v>197</v>
      </c>
      <c r="B80" s="7" t="s">
        <v>113</v>
      </c>
      <c r="C80" s="7" t="s">
        <v>140</v>
      </c>
      <c r="D80" s="7" t="s">
        <v>100</v>
      </c>
      <c r="E80" s="7" t="n">
        <v>56.29</v>
      </c>
      <c r="F80" s="7" t="n">
        <v>130.4</v>
      </c>
      <c r="G80" s="7" t="n">
        <v>103.4</v>
      </c>
      <c r="H80" s="7" t="n">
        <v>0.793</v>
      </c>
      <c r="I80" s="7" t="n">
        <v>95358</v>
      </c>
      <c r="J80" s="7" t="n">
        <v>5251276.5</v>
      </c>
      <c r="K80" s="7" t="n">
        <v>181</v>
      </c>
      <c r="L80" s="7" t="n">
        <v>2680185</v>
      </c>
    </row>
    <row r="81" customFormat="false" ht="15" hidden="false" customHeight="false" outlineLevel="0" collapsed="false">
      <c r="A81" s="7" t="s">
        <v>198</v>
      </c>
      <c r="B81" s="7" t="s">
        <v>94</v>
      </c>
      <c r="C81" s="7" t="s">
        <v>140</v>
      </c>
      <c r="D81" s="7" t="s">
        <v>115</v>
      </c>
      <c r="E81" s="7" t="n">
        <v>54.57</v>
      </c>
      <c r="F81" s="7" t="n">
        <v>134.3</v>
      </c>
      <c r="G81" s="7" t="n">
        <v>105.8</v>
      </c>
      <c r="H81" s="7" t="n">
        <v>0.788</v>
      </c>
      <c r="I81" s="7" t="n">
        <v>98187</v>
      </c>
      <c r="J81" s="7" t="n">
        <v>5380178.94</v>
      </c>
      <c r="K81" s="7" t="n">
        <v>253</v>
      </c>
      <c r="L81" s="7" t="n">
        <v>2675583</v>
      </c>
    </row>
    <row r="82" customFormat="false" ht="15" hidden="false" customHeight="false" outlineLevel="0" collapsed="false">
      <c r="A82" s="7" t="s">
        <v>199</v>
      </c>
      <c r="B82" s="7" t="s">
        <v>102</v>
      </c>
      <c r="C82" s="7" t="s">
        <v>111</v>
      </c>
      <c r="D82" s="7" t="s">
        <v>107</v>
      </c>
      <c r="E82" s="7" t="n">
        <v>55.01</v>
      </c>
      <c r="F82" s="7" t="n">
        <v>133</v>
      </c>
      <c r="G82" s="7" t="n">
        <v>111.3</v>
      </c>
      <c r="H82" s="7" t="n">
        <v>0.837</v>
      </c>
      <c r="I82" s="7" t="n">
        <v>97227</v>
      </c>
      <c r="J82" s="7" t="n">
        <v>5246035.08</v>
      </c>
      <c r="K82" s="7" t="n">
        <v>372</v>
      </c>
      <c r="L82" s="7" t="n">
        <v>2670713</v>
      </c>
    </row>
    <row r="83" customFormat="false" ht="15" hidden="false" customHeight="false" outlineLevel="0" collapsed="false">
      <c r="A83" s="7" t="s">
        <v>200</v>
      </c>
      <c r="B83" s="7" t="s">
        <v>98</v>
      </c>
      <c r="C83" s="7" t="s">
        <v>130</v>
      </c>
      <c r="D83" s="7" t="s">
        <v>100</v>
      </c>
      <c r="E83" s="7" t="n">
        <v>55.09</v>
      </c>
      <c r="F83" s="7" t="n">
        <v>132.2</v>
      </c>
      <c r="G83" s="7" t="n">
        <v>104.9</v>
      </c>
      <c r="H83" s="7" t="n">
        <v>0.793</v>
      </c>
      <c r="I83" s="7" t="n">
        <v>96660</v>
      </c>
      <c r="J83" s="7" t="n">
        <v>5372252.97</v>
      </c>
      <c r="K83" s="7" t="n">
        <v>415</v>
      </c>
      <c r="L83" s="7" t="n">
        <v>2658661</v>
      </c>
    </row>
    <row r="84" customFormat="false" ht="15" hidden="false" customHeight="false" outlineLevel="0" collapsed="false">
      <c r="A84" s="7" t="s">
        <v>201</v>
      </c>
      <c r="B84" s="7" t="s">
        <v>129</v>
      </c>
      <c r="C84" s="7" t="s">
        <v>99</v>
      </c>
      <c r="D84" s="7" t="s">
        <v>100</v>
      </c>
      <c r="E84" s="7" t="n">
        <v>54.8</v>
      </c>
      <c r="F84" s="7" t="n">
        <v>132.9</v>
      </c>
      <c r="G84" s="7" t="n">
        <v>109.2</v>
      </c>
      <c r="H84" s="7" t="n">
        <v>0.822</v>
      </c>
      <c r="I84" s="7" t="n">
        <v>97131</v>
      </c>
      <c r="J84" s="7" t="n">
        <v>5299600.13</v>
      </c>
      <c r="K84" s="7" t="n">
        <v>356</v>
      </c>
      <c r="L84" s="7" t="n">
        <v>2657889</v>
      </c>
    </row>
    <row r="85" customFormat="false" ht="15" hidden="false" customHeight="false" outlineLevel="0" collapsed="false">
      <c r="A85" s="7" t="s">
        <v>202</v>
      </c>
      <c r="B85" s="7" t="s">
        <v>129</v>
      </c>
      <c r="C85" s="7" t="s">
        <v>109</v>
      </c>
      <c r="D85" s="7" t="s">
        <v>100</v>
      </c>
      <c r="E85" s="7" t="n">
        <v>55.4</v>
      </c>
      <c r="F85" s="7" t="n">
        <v>131.4</v>
      </c>
      <c r="G85" s="7" t="n">
        <v>107.1</v>
      </c>
      <c r="H85" s="7" t="n">
        <v>0.815</v>
      </c>
      <c r="I85" s="7" t="n">
        <v>96080</v>
      </c>
      <c r="J85" s="7" t="n">
        <v>5361892.65</v>
      </c>
      <c r="K85" s="7" t="n">
        <v>167</v>
      </c>
      <c r="L85" s="7" t="n">
        <v>2657780</v>
      </c>
    </row>
    <row r="86" customFormat="false" ht="15" hidden="false" customHeight="false" outlineLevel="0" collapsed="false">
      <c r="A86" s="7" t="s">
        <v>203</v>
      </c>
      <c r="B86" s="7" t="s">
        <v>98</v>
      </c>
      <c r="C86" s="7" t="s">
        <v>162</v>
      </c>
      <c r="D86" s="7" t="s">
        <v>104</v>
      </c>
      <c r="E86" s="7" t="n">
        <v>54.29</v>
      </c>
      <c r="F86" s="7" t="n">
        <v>133.9</v>
      </c>
      <c r="G86" s="7" t="n">
        <v>109.8</v>
      </c>
      <c r="H86" s="7" t="n">
        <v>0.82</v>
      </c>
      <c r="I86" s="7" t="n">
        <v>97864</v>
      </c>
      <c r="J86" s="7" t="n">
        <v>5330469.17</v>
      </c>
      <c r="K86" s="7" t="n">
        <v>103</v>
      </c>
      <c r="L86" s="7" t="n">
        <v>2653128</v>
      </c>
    </row>
    <row r="87" customFormat="false" ht="15" hidden="false" customHeight="false" outlineLevel="0" collapsed="false">
      <c r="A87" s="7" t="s">
        <v>204</v>
      </c>
      <c r="B87" s="7" t="s">
        <v>129</v>
      </c>
      <c r="C87" s="7" t="s">
        <v>140</v>
      </c>
      <c r="D87" s="7" t="s">
        <v>107</v>
      </c>
      <c r="E87" s="7" t="n">
        <v>55.45</v>
      </c>
      <c r="F87" s="7" t="n">
        <v>131</v>
      </c>
      <c r="G87" s="7" t="n">
        <v>104.3</v>
      </c>
      <c r="H87" s="7" t="n">
        <v>0.796</v>
      </c>
      <c r="I87" s="7" t="n">
        <v>95789</v>
      </c>
      <c r="J87" s="7" t="n">
        <v>5286313.58</v>
      </c>
      <c r="K87" s="7" t="n">
        <v>217</v>
      </c>
      <c r="L87" s="7" t="n">
        <v>2652273</v>
      </c>
    </row>
    <row r="88" customFormat="false" ht="15" hidden="false" customHeight="false" outlineLevel="0" collapsed="false">
      <c r="A88" s="7" t="s">
        <v>205</v>
      </c>
      <c r="B88" s="7" t="s">
        <v>98</v>
      </c>
      <c r="C88" s="7" t="s">
        <v>135</v>
      </c>
      <c r="D88" s="7" t="s">
        <v>100</v>
      </c>
      <c r="E88" s="7" t="n">
        <v>56.08</v>
      </c>
      <c r="F88" s="7" t="n">
        <v>129.4</v>
      </c>
      <c r="G88" s="7" t="n">
        <v>106.4</v>
      </c>
      <c r="H88" s="7" t="n">
        <v>0.822</v>
      </c>
      <c r="I88" s="7" t="n">
        <v>94620</v>
      </c>
      <c r="J88" s="7" t="n">
        <v>5273767.62</v>
      </c>
      <c r="K88" s="7" t="n">
        <v>138</v>
      </c>
      <c r="L88" s="7" t="n">
        <v>2649313</v>
      </c>
    </row>
    <row r="89" customFormat="false" ht="15" hidden="false" customHeight="false" outlineLevel="0" collapsed="false">
      <c r="A89" s="7" t="s">
        <v>206</v>
      </c>
      <c r="B89" s="7" t="s">
        <v>98</v>
      </c>
      <c r="C89" s="7" t="s">
        <v>145</v>
      </c>
      <c r="D89" s="7" t="s">
        <v>104</v>
      </c>
      <c r="E89" s="7" t="n">
        <v>54.8</v>
      </c>
      <c r="F89" s="7" t="n">
        <v>132</v>
      </c>
      <c r="G89" s="7" t="n">
        <v>108.3</v>
      </c>
      <c r="H89" s="7" t="n">
        <v>0.82</v>
      </c>
      <c r="I89" s="7" t="n">
        <v>96507</v>
      </c>
      <c r="J89" s="7" t="n">
        <v>5296673.95</v>
      </c>
      <c r="K89" s="7" t="n">
        <v>375</v>
      </c>
      <c r="L89" s="7" t="n">
        <v>2640452</v>
      </c>
    </row>
    <row r="90" customFormat="false" ht="15" hidden="false" customHeight="false" outlineLevel="0" collapsed="false">
      <c r="A90" s="7" t="s">
        <v>207</v>
      </c>
      <c r="B90" s="7" t="s">
        <v>129</v>
      </c>
      <c r="C90" s="7" t="s">
        <v>122</v>
      </c>
      <c r="D90" s="7" t="s">
        <v>100</v>
      </c>
      <c r="E90" s="7" t="n">
        <v>55.29</v>
      </c>
      <c r="F90" s="7" t="n">
        <v>130.7</v>
      </c>
      <c r="G90" s="7" t="n">
        <v>109</v>
      </c>
      <c r="H90" s="7" t="n">
        <v>0.834</v>
      </c>
      <c r="I90" s="7" t="n">
        <v>95522</v>
      </c>
      <c r="J90" s="7" t="n">
        <v>5215678.21</v>
      </c>
      <c r="K90" s="7" t="n">
        <v>305</v>
      </c>
      <c r="L90" s="7" t="n">
        <v>2637112</v>
      </c>
    </row>
    <row r="91" customFormat="false" ht="15" hidden="false" customHeight="false" outlineLevel="0" collapsed="false">
      <c r="A91" s="7" t="s">
        <v>208</v>
      </c>
      <c r="B91" s="7" t="s">
        <v>102</v>
      </c>
      <c r="C91" s="7" t="s">
        <v>122</v>
      </c>
      <c r="D91" s="7" t="s">
        <v>100</v>
      </c>
      <c r="E91" s="7" t="n">
        <v>54.18</v>
      </c>
      <c r="F91" s="7" t="n">
        <v>133.3</v>
      </c>
      <c r="G91" s="7" t="n">
        <v>105</v>
      </c>
      <c r="H91" s="7" t="n">
        <v>0.788</v>
      </c>
      <c r="I91" s="7" t="n">
        <v>97418</v>
      </c>
      <c r="J91" s="7" t="n">
        <v>5233782.8</v>
      </c>
      <c r="K91" s="7" t="n">
        <v>160</v>
      </c>
      <c r="L91" s="7" t="n">
        <v>2635419</v>
      </c>
    </row>
    <row r="92" customFormat="false" ht="15" hidden="false" customHeight="false" outlineLevel="0" collapsed="false">
      <c r="A92" s="7" t="s">
        <v>209</v>
      </c>
      <c r="B92" s="7" t="s">
        <v>102</v>
      </c>
      <c r="C92" s="7" t="s">
        <v>140</v>
      </c>
      <c r="D92" s="7" t="s">
        <v>104</v>
      </c>
      <c r="E92" s="7" t="n">
        <v>56.04</v>
      </c>
      <c r="F92" s="7" t="n">
        <v>128.8</v>
      </c>
      <c r="G92" s="7" t="n">
        <v>106.1</v>
      </c>
      <c r="H92" s="7" t="n">
        <v>0.823</v>
      </c>
      <c r="I92" s="7" t="n">
        <v>94143</v>
      </c>
      <c r="J92" s="7" t="n">
        <v>5271682.08</v>
      </c>
      <c r="K92" s="7" t="n">
        <v>364</v>
      </c>
      <c r="L92" s="7" t="n">
        <v>2634126</v>
      </c>
    </row>
    <row r="93" customFormat="false" ht="15" hidden="false" customHeight="false" outlineLevel="0" collapsed="false">
      <c r="A93" s="7" t="s">
        <v>210</v>
      </c>
      <c r="B93" s="7" t="s">
        <v>102</v>
      </c>
      <c r="C93" s="7" t="s">
        <v>162</v>
      </c>
      <c r="D93" s="7" t="s">
        <v>104</v>
      </c>
      <c r="E93" s="7" t="n">
        <v>55.96</v>
      </c>
      <c r="F93" s="7" t="n">
        <v>128.9</v>
      </c>
      <c r="G93" s="7" t="n">
        <v>106.8</v>
      </c>
      <c r="H93" s="7" t="n">
        <v>0.829</v>
      </c>
      <c r="I93" s="7" t="n">
        <v>94225</v>
      </c>
      <c r="J93" s="7" t="n">
        <v>5293212.26</v>
      </c>
      <c r="K93" s="7" t="n">
        <v>218</v>
      </c>
      <c r="L93" s="7" t="n">
        <v>2632756</v>
      </c>
    </row>
    <row r="94" customFormat="false" ht="15" hidden="false" customHeight="false" outlineLevel="0" collapsed="false">
      <c r="A94" s="7" t="s">
        <v>211</v>
      </c>
      <c r="B94" s="7" t="s">
        <v>129</v>
      </c>
      <c r="C94" s="7" t="s">
        <v>118</v>
      </c>
      <c r="D94" s="7" t="s">
        <v>96</v>
      </c>
      <c r="E94" s="7" t="n">
        <v>54.38</v>
      </c>
      <c r="F94" s="7" t="n">
        <v>132.5</v>
      </c>
      <c r="G94" s="7" t="n">
        <v>109.9</v>
      </c>
      <c r="H94" s="7" t="n">
        <v>0.83</v>
      </c>
      <c r="I94" s="7" t="n">
        <v>96852</v>
      </c>
      <c r="J94" s="7" t="n">
        <v>5208767.75</v>
      </c>
      <c r="K94" s="7" t="n">
        <v>449</v>
      </c>
      <c r="L94" s="7" t="n">
        <v>2629881</v>
      </c>
    </row>
    <row r="95" customFormat="false" ht="15" hidden="false" customHeight="false" outlineLevel="0" collapsed="false">
      <c r="A95" s="7" t="s">
        <v>212</v>
      </c>
      <c r="B95" s="7" t="s">
        <v>102</v>
      </c>
      <c r="C95" s="7" t="s">
        <v>125</v>
      </c>
      <c r="D95" s="7" t="s">
        <v>107</v>
      </c>
      <c r="E95" s="7" t="n">
        <v>54.49</v>
      </c>
      <c r="F95" s="7" t="n">
        <v>131.8</v>
      </c>
      <c r="G95" s="7" t="n">
        <v>107.4</v>
      </c>
      <c r="H95" s="7" t="n">
        <v>0.815</v>
      </c>
      <c r="I95" s="7" t="n">
        <v>96365</v>
      </c>
      <c r="J95" s="7" t="n">
        <v>5262626.53</v>
      </c>
      <c r="K95" s="7" t="n">
        <v>409</v>
      </c>
      <c r="L95" s="7" t="n">
        <v>2621723</v>
      </c>
    </row>
    <row r="96" customFormat="false" ht="15" hidden="false" customHeight="false" outlineLevel="0" collapsed="false">
      <c r="A96" s="7" t="s">
        <v>213</v>
      </c>
      <c r="B96" s="7" t="s">
        <v>102</v>
      </c>
      <c r="C96" s="7" t="s">
        <v>95</v>
      </c>
      <c r="D96" s="7" t="s">
        <v>115</v>
      </c>
      <c r="E96" s="7" t="n">
        <v>54.9</v>
      </c>
      <c r="F96" s="7" t="n">
        <v>130.8</v>
      </c>
      <c r="G96" s="7" t="n">
        <v>104</v>
      </c>
      <c r="H96" s="7" t="n">
        <v>0.795</v>
      </c>
      <c r="I96" s="7" t="n">
        <v>95606</v>
      </c>
      <c r="J96" s="7" t="n">
        <v>5290330.44</v>
      </c>
      <c r="K96" s="7" t="n">
        <v>433</v>
      </c>
      <c r="L96" s="7" t="n">
        <v>2621019</v>
      </c>
    </row>
    <row r="97" customFormat="false" ht="15" hidden="false" customHeight="false" outlineLevel="0" collapsed="false">
      <c r="A97" s="7" t="s">
        <v>214</v>
      </c>
      <c r="B97" s="7" t="s">
        <v>129</v>
      </c>
      <c r="C97" s="7" t="s">
        <v>127</v>
      </c>
      <c r="D97" s="7" t="s">
        <v>100</v>
      </c>
      <c r="E97" s="7" t="n">
        <v>53.89</v>
      </c>
      <c r="F97" s="7" t="n">
        <v>133.1</v>
      </c>
      <c r="G97" s="7" t="n">
        <v>107.4</v>
      </c>
      <c r="H97" s="7" t="n">
        <v>0.806</v>
      </c>
      <c r="I97" s="7" t="n">
        <v>97318</v>
      </c>
      <c r="J97" s="7" t="n">
        <v>5312215.96</v>
      </c>
      <c r="K97" s="7" t="n">
        <v>471</v>
      </c>
      <c r="L97" s="7" t="n">
        <v>2618846</v>
      </c>
    </row>
    <row r="98" customFormat="false" ht="15" hidden="false" customHeight="false" outlineLevel="0" collapsed="false">
      <c r="A98" s="7" t="s">
        <v>215</v>
      </c>
      <c r="B98" s="7" t="s">
        <v>113</v>
      </c>
      <c r="C98" s="7" t="s">
        <v>99</v>
      </c>
      <c r="D98" s="7" t="s">
        <v>100</v>
      </c>
      <c r="E98" s="7" t="n">
        <v>54.3</v>
      </c>
      <c r="F98" s="7" t="n">
        <v>131.4</v>
      </c>
      <c r="G98" s="7" t="n">
        <v>104.8</v>
      </c>
      <c r="H98" s="7" t="n">
        <v>0.798</v>
      </c>
      <c r="I98" s="7" t="n">
        <v>96049</v>
      </c>
      <c r="J98" s="7" t="n">
        <v>5338089.51</v>
      </c>
      <c r="K98" s="7" t="n">
        <v>113</v>
      </c>
      <c r="L98" s="7" t="n">
        <v>2604074</v>
      </c>
    </row>
    <row r="99" customFormat="false" ht="15" hidden="false" customHeight="false" outlineLevel="0" collapsed="false">
      <c r="A99" s="7" t="s">
        <v>216</v>
      </c>
      <c r="B99" s="7" t="s">
        <v>113</v>
      </c>
      <c r="C99" s="7" t="s">
        <v>111</v>
      </c>
      <c r="D99" s="7" t="s">
        <v>107</v>
      </c>
      <c r="E99" s="7" t="n">
        <v>54.9</v>
      </c>
      <c r="F99" s="7" t="n">
        <v>129.2</v>
      </c>
      <c r="G99" s="7" t="n">
        <v>107.5</v>
      </c>
      <c r="H99" s="7" t="n">
        <v>0.832</v>
      </c>
      <c r="I99" s="7" t="n">
        <v>94436</v>
      </c>
      <c r="J99" s="7" t="n">
        <v>5299095.21</v>
      </c>
      <c r="K99" s="7" t="n">
        <v>419</v>
      </c>
      <c r="L99" s="7" t="n">
        <v>2588500</v>
      </c>
    </row>
    <row r="100" customFormat="false" ht="15" hidden="false" customHeight="false" outlineLevel="0" collapsed="false">
      <c r="A100" s="7" t="s">
        <v>217</v>
      </c>
      <c r="B100" s="7" t="s">
        <v>102</v>
      </c>
      <c r="C100" s="7" t="s">
        <v>133</v>
      </c>
      <c r="D100" s="7" t="s">
        <v>115</v>
      </c>
      <c r="E100" s="7" t="n">
        <v>53.28</v>
      </c>
      <c r="F100" s="7" t="n">
        <v>132.3</v>
      </c>
      <c r="G100" s="7" t="n">
        <v>106.5</v>
      </c>
      <c r="H100" s="7" t="n">
        <v>0.805</v>
      </c>
      <c r="I100" s="7" t="n">
        <v>96719</v>
      </c>
      <c r="J100" s="7" t="n">
        <v>5197982.57</v>
      </c>
      <c r="K100" s="7" t="n">
        <v>236</v>
      </c>
      <c r="L100" s="7" t="n">
        <v>2573215</v>
      </c>
    </row>
    <row r="101" customFormat="false" ht="15" hidden="false" customHeight="false" outlineLevel="0" collapsed="false">
      <c r="A101" s="7" t="s">
        <v>218</v>
      </c>
      <c r="B101" s="7" t="s">
        <v>113</v>
      </c>
      <c r="C101" s="7" t="s">
        <v>120</v>
      </c>
      <c r="D101" s="7" t="s">
        <v>100</v>
      </c>
      <c r="E101" s="7" t="n">
        <v>54.06</v>
      </c>
      <c r="F101" s="7" t="n">
        <v>130.4</v>
      </c>
      <c r="G101" s="7" t="n">
        <v>105.8</v>
      </c>
      <c r="H101" s="7" t="n">
        <v>0.812</v>
      </c>
      <c r="I101" s="7" t="n">
        <v>95309</v>
      </c>
      <c r="J101" s="7" t="n">
        <v>5182985.59</v>
      </c>
      <c r="K101" s="7" t="n">
        <v>134</v>
      </c>
      <c r="L101" s="7" t="n">
        <v>2572687</v>
      </c>
    </row>
    <row r="102" customFormat="false" ht="15" hidden="false" customHeight="false" outlineLevel="0" collapsed="false">
      <c r="A102" s="7" t="s">
        <v>219</v>
      </c>
      <c r="B102" s="7" t="s">
        <v>113</v>
      </c>
      <c r="C102" s="7" t="s">
        <v>145</v>
      </c>
      <c r="D102" s="7" t="s">
        <v>104</v>
      </c>
      <c r="E102" s="7" t="n">
        <v>54.6</v>
      </c>
      <c r="F102" s="7" t="n">
        <v>128.6</v>
      </c>
      <c r="G102" s="7" t="n">
        <v>103.7</v>
      </c>
      <c r="H102" s="7" t="n">
        <v>0.806</v>
      </c>
      <c r="I102" s="7" t="n">
        <v>94023</v>
      </c>
      <c r="J102" s="7" t="n">
        <v>5165452.83</v>
      </c>
      <c r="K102" s="7" t="n">
        <v>83</v>
      </c>
      <c r="L102" s="7" t="n">
        <v>2563127</v>
      </c>
    </row>
    <row r="103" customFormat="false" ht="15" hidden="false" customHeight="false" outlineLevel="0" collapsed="false">
      <c r="A103" s="7" t="s">
        <v>220</v>
      </c>
      <c r="B103" s="7" t="s">
        <v>98</v>
      </c>
      <c r="C103" s="7" t="s">
        <v>111</v>
      </c>
      <c r="D103" s="7" t="s">
        <v>100</v>
      </c>
      <c r="E103" s="7" t="n">
        <v>55.43</v>
      </c>
      <c r="F103" s="7" t="n">
        <v>126.6</v>
      </c>
      <c r="G103" s="7" t="n">
        <v>102.9</v>
      </c>
      <c r="H103" s="7" t="n">
        <v>0.813</v>
      </c>
      <c r="I103" s="7" t="n">
        <v>92556</v>
      </c>
      <c r="J103" s="7" t="n">
        <v>5154268.24</v>
      </c>
      <c r="K103" s="7" t="n">
        <v>112</v>
      </c>
      <c r="L103" s="7" t="n">
        <v>2561893</v>
      </c>
    </row>
    <row r="104" customFormat="false" ht="15" hidden="false" customHeight="false" outlineLevel="0" collapsed="false">
      <c r="A104" s="7" t="s">
        <v>221</v>
      </c>
      <c r="B104" s="7" t="s">
        <v>94</v>
      </c>
      <c r="C104" s="7" t="s">
        <v>135</v>
      </c>
      <c r="D104" s="7" t="s">
        <v>96</v>
      </c>
      <c r="E104" s="7" t="n">
        <v>53.21</v>
      </c>
      <c r="F104" s="7" t="n">
        <v>131.1</v>
      </c>
      <c r="G104" s="7" t="n">
        <v>106.9</v>
      </c>
      <c r="H104" s="7" t="n">
        <v>0.816</v>
      </c>
      <c r="I104" s="7" t="n">
        <v>95801</v>
      </c>
      <c r="J104" s="7" t="n">
        <v>5191853.76</v>
      </c>
      <c r="K104" s="7" t="n">
        <v>300</v>
      </c>
      <c r="L104" s="7" t="n">
        <v>2545249</v>
      </c>
    </row>
    <row r="105" customFormat="false" ht="15" hidden="false" customHeight="false" outlineLevel="0" collapsed="false">
      <c r="A105" s="7" t="s">
        <v>222</v>
      </c>
      <c r="B105" s="7" t="s">
        <v>129</v>
      </c>
      <c r="C105" s="7" t="s">
        <v>153</v>
      </c>
      <c r="D105" s="7" t="s">
        <v>115</v>
      </c>
      <c r="E105" s="7" t="n">
        <v>54.04</v>
      </c>
      <c r="F105" s="7" t="n">
        <v>128.4</v>
      </c>
      <c r="G105" s="7" t="n">
        <v>102.2</v>
      </c>
      <c r="H105" s="7" t="n">
        <v>0.796</v>
      </c>
      <c r="I105" s="7" t="n">
        <v>93854</v>
      </c>
      <c r="J105" s="7" t="n">
        <v>4973537.72</v>
      </c>
      <c r="K105" s="7" t="n">
        <v>213</v>
      </c>
      <c r="L105" s="7" t="n">
        <v>2532392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26"/>
    <col collapsed="false" customWidth="true" hidden="false" outlineLevel="0" max="6" min="6" style="0" width="8"/>
    <col collapsed="false" customWidth="true" hidden="false" outlineLevel="0" max="7" min="7" style="0" width="16"/>
    <col collapsed="false" customWidth="true" hidden="false" outlineLevel="0" max="8" min="8" style="0" width="14"/>
  </cols>
  <sheetData>
    <row r="2" customFormat="false" ht="17.35" hidden="false" customHeight="false" outlineLevel="0" collapsed="false">
      <c r="B2" s="1" t="s">
        <v>223</v>
      </c>
    </row>
    <row r="3" customFormat="false" ht="15" hidden="false" customHeight="false" outlineLevel="0" collapsed="false">
      <c r="B3" s="2" t="s">
        <v>224</v>
      </c>
    </row>
    <row r="5" customFormat="false" ht="23.85" hidden="false" customHeight="false" outlineLevel="0" collapsed="false">
      <c r="A5" s="6" t="s">
        <v>81</v>
      </c>
      <c r="B5" s="6" t="s">
        <v>92</v>
      </c>
      <c r="C5" s="6" t="s">
        <v>225</v>
      </c>
      <c r="D5" s="6" t="s">
        <v>226</v>
      </c>
      <c r="E5" s="6" t="s">
        <v>227</v>
      </c>
      <c r="F5" s="6" t="s">
        <v>88</v>
      </c>
      <c r="G5" s="6" t="s">
        <v>228</v>
      </c>
      <c r="H5" s="6" t="s">
        <v>229</v>
      </c>
    </row>
    <row r="6" customFormat="false" ht="15" hidden="false" customHeight="false" outlineLevel="0" collapsed="false">
      <c r="A6" s="7" t="s">
        <v>93</v>
      </c>
      <c r="B6" s="7" t="n">
        <v>3056460</v>
      </c>
      <c r="C6" s="7" t="n">
        <v>0.0111</v>
      </c>
      <c r="D6" s="7" t="s">
        <v>230</v>
      </c>
      <c r="E6" s="7" t="s">
        <v>230</v>
      </c>
      <c r="F6" s="7" t="n">
        <v>0.775</v>
      </c>
      <c r="G6" s="7" t="s">
        <v>231</v>
      </c>
      <c r="H6" s="7" t="s">
        <v>232</v>
      </c>
    </row>
    <row r="7" customFormat="false" ht="15" hidden="false" customHeight="false" outlineLevel="0" collapsed="false">
      <c r="A7" s="7" t="s">
        <v>97</v>
      </c>
      <c r="B7" s="7" t="n">
        <v>3003091</v>
      </c>
      <c r="C7" s="7" t="n">
        <v>0.0221</v>
      </c>
      <c r="D7" s="7" t="s">
        <v>230</v>
      </c>
      <c r="E7" s="7" t="s">
        <v>230</v>
      </c>
      <c r="F7" s="7" t="n">
        <v>0.766</v>
      </c>
      <c r="G7" s="7" t="s">
        <v>231</v>
      </c>
      <c r="H7" s="7" t="s">
        <v>232</v>
      </c>
    </row>
    <row r="8" customFormat="false" ht="15" hidden="false" customHeight="false" outlineLevel="0" collapsed="false">
      <c r="A8" s="7" t="s">
        <v>101</v>
      </c>
      <c r="B8" s="7" t="n">
        <v>2991361</v>
      </c>
      <c r="C8" s="7" t="n">
        <v>0.033</v>
      </c>
      <c r="D8" s="7" t="s">
        <v>230</v>
      </c>
      <c r="E8" s="7" t="s">
        <v>230</v>
      </c>
      <c r="F8" s="7" t="n">
        <v>0.788</v>
      </c>
      <c r="G8" s="7" t="s">
        <v>231</v>
      </c>
      <c r="H8" s="7" t="s">
        <v>232</v>
      </c>
    </row>
    <row r="9" customFormat="false" ht="15" hidden="false" customHeight="false" outlineLevel="0" collapsed="false">
      <c r="A9" s="7" t="s">
        <v>105</v>
      </c>
      <c r="B9" s="7" t="n">
        <v>2931012</v>
      </c>
      <c r="C9" s="7" t="n">
        <v>0.0436</v>
      </c>
      <c r="D9" s="7" t="s">
        <v>230</v>
      </c>
      <c r="E9" s="7" t="s">
        <v>230</v>
      </c>
      <c r="F9" s="7" t="n">
        <v>0.785</v>
      </c>
      <c r="G9" s="7" t="s">
        <v>231</v>
      </c>
      <c r="H9" s="7" t="s">
        <v>232</v>
      </c>
    </row>
    <row r="10" customFormat="false" ht="15" hidden="false" customHeight="false" outlineLevel="0" collapsed="false">
      <c r="A10" s="7" t="s">
        <v>108</v>
      </c>
      <c r="B10" s="7" t="n">
        <v>2918882</v>
      </c>
      <c r="C10" s="7" t="n">
        <v>0.0543</v>
      </c>
      <c r="D10" s="7" t="s">
        <v>230</v>
      </c>
      <c r="E10" s="7" t="s">
        <v>230</v>
      </c>
      <c r="F10" s="7" t="n">
        <v>0.78</v>
      </c>
      <c r="G10" s="7" t="s">
        <v>231</v>
      </c>
      <c r="H10" s="7" t="s">
        <v>232</v>
      </c>
    </row>
    <row r="11" customFormat="false" ht="15" hidden="false" customHeight="false" outlineLevel="0" collapsed="false">
      <c r="A11" s="7" t="s">
        <v>110</v>
      </c>
      <c r="B11" s="7" t="n">
        <v>2888618</v>
      </c>
      <c r="C11" s="7" t="n">
        <v>0.0648</v>
      </c>
      <c r="D11" s="7" t="s">
        <v>230</v>
      </c>
      <c r="E11" s="7" t="s">
        <v>230</v>
      </c>
      <c r="F11" s="7" t="n">
        <v>0.774</v>
      </c>
      <c r="G11" s="7" t="s">
        <v>231</v>
      </c>
      <c r="H11" s="7" t="s">
        <v>232</v>
      </c>
    </row>
    <row r="12" customFormat="false" ht="15" hidden="false" customHeight="false" outlineLevel="0" collapsed="false">
      <c r="A12" s="7" t="s">
        <v>112</v>
      </c>
      <c r="B12" s="7" t="n">
        <v>2880108</v>
      </c>
      <c r="C12" s="7" t="n">
        <v>0.0753</v>
      </c>
      <c r="D12" s="7" t="s">
        <v>230</v>
      </c>
      <c r="E12" s="7" t="s">
        <v>230</v>
      </c>
      <c r="F12" s="7" t="n">
        <v>0.751</v>
      </c>
      <c r="G12" s="7" t="s">
        <v>231</v>
      </c>
      <c r="H12" s="7" t="s">
        <v>232</v>
      </c>
    </row>
    <row r="13" customFormat="false" ht="15" hidden="false" customHeight="false" outlineLevel="0" collapsed="false">
      <c r="A13" s="7" t="s">
        <v>116</v>
      </c>
      <c r="B13" s="7" t="n">
        <v>2879761</v>
      </c>
      <c r="C13" s="7" t="n">
        <v>0.0858</v>
      </c>
      <c r="D13" s="7" t="s">
        <v>230</v>
      </c>
      <c r="E13" s="7" t="s">
        <v>230</v>
      </c>
      <c r="F13" s="7" t="n">
        <v>0.781</v>
      </c>
      <c r="G13" s="7" t="s">
        <v>231</v>
      </c>
      <c r="H13" s="7" t="s">
        <v>232</v>
      </c>
    </row>
    <row r="14" customFormat="false" ht="15" hidden="false" customHeight="false" outlineLevel="0" collapsed="false">
      <c r="A14" s="7" t="s">
        <v>117</v>
      </c>
      <c r="B14" s="7" t="n">
        <v>2874457</v>
      </c>
      <c r="C14" s="7" t="n">
        <v>0.0962</v>
      </c>
      <c r="D14" s="7" t="s">
        <v>230</v>
      </c>
      <c r="E14" s="7" t="s">
        <v>230</v>
      </c>
      <c r="F14" s="7" t="n">
        <v>0.763</v>
      </c>
      <c r="G14" s="7" t="s">
        <v>231</v>
      </c>
      <c r="H14" s="7" t="s">
        <v>232</v>
      </c>
    </row>
    <row r="15" customFormat="false" ht="15" hidden="false" customHeight="false" outlineLevel="0" collapsed="false">
      <c r="A15" s="7" t="s">
        <v>119</v>
      </c>
      <c r="B15" s="7" t="n">
        <v>2871162</v>
      </c>
      <c r="C15" s="7" t="n">
        <v>0.1067</v>
      </c>
      <c r="D15" s="7" t="s">
        <v>230</v>
      </c>
      <c r="E15" s="7" t="s">
        <v>230</v>
      </c>
      <c r="F15" s="7" t="n">
        <v>0.798</v>
      </c>
      <c r="G15" s="7" t="s">
        <v>233</v>
      </c>
      <c r="H15" s="7" t="s">
        <v>234</v>
      </c>
    </row>
    <row r="16" customFormat="false" ht="15" hidden="false" customHeight="false" outlineLevel="0" collapsed="false">
      <c r="A16" s="7" t="s">
        <v>121</v>
      </c>
      <c r="B16" s="7" t="n">
        <v>2871154</v>
      </c>
      <c r="C16" s="7" t="n">
        <v>0.1171</v>
      </c>
      <c r="D16" s="7" t="s">
        <v>230</v>
      </c>
      <c r="E16" s="7" t="s">
        <v>230</v>
      </c>
      <c r="F16" s="7" t="n">
        <v>0.816</v>
      </c>
      <c r="G16" s="7" t="s">
        <v>235</v>
      </c>
      <c r="H16" s="7" t="s">
        <v>236</v>
      </c>
    </row>
    <row r="17" customFormat="false" ht="15" hidden="false" customHeight="false" outlineLevel="0" collapsed="false">
      <c r="A17" s="7" t="s">
        <v>123</v>
      </c>
      <c r="B17" s="7" t="n">
        <v>2869044</v>
      </c>
      <c r="C17" s="7" t="n">
        <v>0.1276</v>
      </c>
      <c r="D17" s="7" t="s">
        <v>230</v>
      </c>
      <c r="E17" s="7" t="s">
        <v>230</v>
      </c>
      <c r="F17" s="7" t="n">
        <v>0.801</v>
      </c>
      <c r="G17" s="7" t="s">
        <v>233</v>
      </c>
      <c r="H17" s="7" t="s">
        <v>234</v>
      </c>
    </row>
    <row r="18" customFormat="false" ht="15" hidden="false" customHeight="false" outlineLevel="0" collapsed="false">
      <c r="A18" s="7" t="s">
        <v>124</v>
      </c>
      <c r="B18" s="7" t="n">
        <v>2868105</v>
      </c>
      <c r="C18" s="7" t="n">
        <v>0.138</v>
      </c>
      <c r="D18" s="7" t="s">
        <v>230</v>
      </c>
      <c r="E18" s="7" t="s">
        <v>230</v>
      </c>
      <c r="F18" s="7" t="n">
        <v>0.778</v>
      </c>
      <c r="G18" s="7" t="s">
        <v>231</v>
      </c>
      <c r="H18" s="7" t="s">
        <v>232</v>
      </c>
    </row>
    <row r="19" customFormat="false" ht="15" hidden="false" customHeight="false" outlineLevel="0" collapsed="false">
      <c r="A19" s="7" t="s">
        <v>126</v>
      </c>
      <c r="B19" s="7" t="n">
        <v>2864847</v>
      </c>
      <c r="C19" s="7" t="n">
        <v>0.1485</v>
      </c>
      <c r="D19" s="7" t="s">
        <v>230</v>
      </c>
      <c r="E19" s="7" t="s">
        <v>230</v>
      </c>
      <c r="F19" s="7" t="n">
        <v>0.758</v>
      </c>
      <c r="G19" s="7" t="s">
        <v>231</v>
      </c>
      <c r="H19" s="7" t="s">
        <v>232</v>
      </c>
    </row>
    <row r="20" customFormat="false" ht="15" hidden="false" customHeight="false" outlineLevel="0" collapsed="false">
      <c r="A20" s="7" t="s">
        <v>128</v>
      </c>
      <c r="B20" s="7" t="n">
        <v>2859819</v>
      </c>
      <c r="C20" s="7" t="n">
        <v>0.1589</v>
      </c>
      <c r="D20" s="7" t="s">
        <v>230</v>
      </c>
      <c r="E20" s="7" t="s">
        <v>230</v>
      </c>
      <c r="F20" s="7" t="n">
        <v>0.807</v>
      </c>
      <c r="G20" s="7" t="s">
        <v>235</v>
      </c>
      <c r="H20" s="7" t="s">
        <v>236</v>
      </c>
    </row>
    <row r="21" customFormat="false" ht="15" hidden="false" customHeight="false" outlineLevel="0" collapsed="false">
      <c r="A21" s="7" t="s">
        <v>131</v>
      </c>
      <c r="B21" s="7" t="n">
        <v>2858275</v>
      </c>
      <c r="C21" s="7" t="n">
        <v>0.1693</v>
      </c>
      <c r="D21" s="7" t="s">
        <v>230</v>
      </c>
      <c r="E21" s="7" t="s">
        <v>230</v>
      </c>
      <c r="F21" s="7" t="n">
        <v>0.783</v>
      </c>
      <c r="G21" s="7" t="s">
        <v>231</v>
      </c>
      <c r="H21" s="7" t="s">
        <v>232</v>
      </c>
    </row>
    <row r="22" customFormat="false" ht="15" hidden="false" customHeight="false" outlineLevel="0" collapsed="false">
      <c r="A22" s="7" t="s">
        <v>132</v>
      </c>
      <c r="B22" s="7" t="n">
        <v>2846054</v>
      </c>
      <c r="C22" s="7" t="n">
        <v>0.1796</v>
      </c>
      <c r="D22" s="7" t="s">
        <v>230</v>
      </c>
      <c r="E22" s="7" t="s">
        <v>230</v>
      </c>
      <c r="F22" s="7" t="n">
        <v>0.753</v>
      </c>
      <c r="G22" s="7" t="s">
        <v>231</v>
      </c>
      <c r="H22" s="7" t="s">
        <v>232</v>
      </c>
    </row>
    <row r="23" customFormat="false" ht="15" hidden="false" customHeight="false" outlineLevel="0" collapsed="false">
      <c r="A23" s="7" t="s">
        <v>134</v>
      </c>
      <c r="B23" s="7" t="n">
        <v>2842270</v>
      </c>
      <c r="C23" s="7" t="n">
        <v>0.19</v>
      </c>
      <c r="D23" s="7" t="s">
        <v>230</v>
      </c>
      <c r="E23" s="7" t="s">
        <v>230</v>
      </c>
      <c r="F23" s="7" t="n">
        <v>0.783</v>
      </c>
      <c r="G23" s="7" t="s">
        <v>231</v>
      </c>
      <c r="H23" s="7" t="s">
        <v>232</v>
      </c>
    </row>
    <row r="24" customFormat="false" ht="15" hidden="false" customHeight="false" outlineLevel="0" collapsed="false">
      <c r="A24" s="7" t="s">
        <v>136</v>
      </c>
      <c r="B24" s="7" t="n">
        <v>2841849</v>
      </c>
      <c r="C24" s="7" t="n">
        <v>0.2003</v>
      </c>
      <c r="D24" s="7" t="s">
        <v>230</v>
      </c>
      <c r="E24" s="7" t="s">
        <v>230</v>
      </c>
      <c r="F24" s="7" t="n">
        <v>0.787</v>
      </c>
      <c r="G24" s="7" t="s">
        <v>231</v>
      </c>
      <c r="H24" s="7" t="s">
        <v>232</v>
      </c>
    </row>
    <row r="25" customFormat="false" ht="15" hidden="false" customHeight="false" outlineLevel="0" collapsed="false">
      <c r="A25" s="7" t="s">
        <v>137</v>
      </c>
      <c r="B25" s="7" t="n">
        <v>2830746</v>
      </c>
      <c r="C25" s="7" t="n">
        <v>0.2106</v>
      </c>
      <c r="D25" s="7" t="s">
        <v>230</v>
      </c>
      <c r="E25" s="7" t="s">
        <v>230</v>
      </c>
      <c r="F25" s="7" t="n">
        <v>0.78</v>
      </c>
      <c r="G25" s="7" t="s">
        <v>231</v>
      </c>
      <c r="H25" s="7" t="s">
        <v>232</v>
      </c>
    </row>
    <row r="26" customFormat="false" ht="15" hidden="false" customHeight="false" outlineLevel="0" collapsed="false">
      <c r="A26" s="7" t="s">
        <v>138</v>
      </c>
      <c r="B26" s="7" t="n">
        <v>2822468</v>
      </c>
      <c r="C26" s="7" t="n">
        <v>0.2209</v>
      </c>
      <c r="D26" s="7" t="s">
        <v>230</v>
      </c>
      <c r="E26" s="7" t="s">
        <v>237</v>
      </c>
      <c r="F26" s="7" t="n">
        <v>0.809</v>
      </c>
      <c r="G26" s="7" t="s">
        <v>235</v>
      </c>
      <c r="H26" s="7" t="s">
        <v>236</v>
      </c>
    </row>
    <row r="27" customFormat="false" ht="15" hidden="false" customHeight="false" outlineLevel="0" collapsed="false">
      <c r="A27" s="7" t="s">
        <v>139</v>
      </c>
      <c r="B27" s="7" t="n">
        <v>2812768</v>
      </c>
      <c r="C27" s="7" t="n">
        <v>0.2312</v>
      </c>
      <c r="D27" s="7" t="s">
        <v>230</v>
      </c>
      <c r="E27" s="7" t="s">
        <v>237</v>
      </c>
      <c r="F27" s="7" t="n">
        <v>0.784</v>
      </c>
      <c r="G27" s="7" t="s">
        <v>231</v>
      </c>
      <c r="H27" s="7" t="s">
        <v>232</v>
      </c>
    </row>
    <row r="28" customFormat="false" ht="15" hidden="false" customHeight="false" outlineLevel="0" collapsed="false">
      <c r="A28" s="7" t="s">
        <v>141</v>
      </c>
      <c r="B28" s="7" t="n">
        <v>2805194</v>
      </c>
      <c r="C28" s="7" t="n">
        <v>0.2414</v>
      </c>
      <c r="D28" s="7" t="s">
        <v>230</v>
      </c>
      <c r="E28" s="7" t="s">
        <v>237</v>
      </c>
      <c r="F28" s="7" t="n">
        <v>0.758</v>
      </c>
      <c r="G28" s="7" t="s">
        <v>231</v>
      </c>
      <c r="H28" s="7" t="s">
        <v>232</v>
      </c>
    </row>
    <row r="29" customFormat="false" ht="15" hidden="false" customHeight="false" outlineLevel="0" collapsed="false">
      <c r="A29" s="7" t="s">
        <v>142</v>
      </c>
      <c r="B29" s="7" t="n">
        <v>2804996</v>
      </c>
      <c r="C29" s="7" t="n">
        <v>0.2516</v>
      </c>
      <c r="D29" s="7" t="s">
        <v>230</v>
      </c>
      <c r="E29" s="7" t="s">
        <v>237</v>
      </c>
      <c r="F29" s="7" t="n">
        <v>0.804</v>
      </c>
      <c r="G29" s="7" t="s">
        <v>233</v>
      </c>
      <c r="H29" s="7" t="s">
        <v>234</v>
      </c>
    </row>
    <row r="30" customFormat="false" ht="15" hidden="false" customHeight="false" outlineLevel="0" collapsed="false">
      <c r="A30" s="7" t="s">
        <v>143</v>
      </c>
      <c r="B30" s="7" t="n">
        <v>2802155</v>
      </c>
      <c r="C30" s="7" t="n">
        <v>0.2618</v>
      </c>
      <c r="D30" s="7" t="s">
        <v>230</v>
      </c>
      <c r="E30" s="7" t="s">
        <v>237</v>
      </c>
      <c r="F30" s="7" t="n">
        <v>0.784</v>
      </c>
      <c r="G30" s="7" t="s">
        <v>231</v>
      </c>
      <c r="H30" s="7" t="s">
        <v>232</v>
      </c>
    </row>
    <row r="31" customFormat="false" ht="15" hidden="false" customHeight="false" outlineLevel="0" collapsed="false">
      <c r="A31" s="7" t="s">
        <v>144</v>
      </c>
      <c r="B31" s="7" t="n">
        <v>2801243</v>
      </c>
      <c r="C31" s="7" t="n">
        <v>0.272</v>
      </c>
      <c r="D31" s="7" t="s">
        <v>230</v>
      </c>
      <c r="E31" s="7" t="s">
        <v>237</v>
      </c>
      <c r="F31" s="7" t="n">
        <v>0.786</v>
      </c>
      <c r="G31" s="7" t="s">
        <v>231</v>
      </c>
      <c r="H31" s="7" t="s">
        <v>232</v>
      </c>
    </row>
    <row r="32" customFormat="false" ht="15" hidden="false" customHeight="false" outlineLevel="0" collapsed="false">
      <c r="A32" s="7" t="s">
        <v>146</v>
      </c>
      <c r="B32" s="7" t="n">
        <v>2800571</v>
      </c>
      <c r="C32" s="7" t="n">
        <v>0.2822</v>
      </c>
      <c r="D32" s="7" t="s">
        <v>230</v>
      </c>
      <c r="E32" s="7" t="s">
        <v>237</v>
      </c>
      <c r="F32" s="7" t="n">
        <v>0.77</v>
      </c>
      <c r="G32" s="7" t="s">
        <v>231</v>
      </c>
      <c r="H32" s="7" t="s">
        <v>232</v>
      </c>
    </row>
    <row r="33" customFormat="false" ht="15" hidden="false" customHeight="false" outlineLevel="0" collapsed="false">
      <c r="A33" s="7" t="s">
        <v>147</v>
      </c>
      <c r="B33" s="7" t="n">
        <v>2798035</v>
      </c>
      <c r="C33" s="7" t="n">
        <v>0.2924</v>
      </c>
      <c r="D33" s="7" t="s">
        <v>230</v>
      </c>
      <c r="E33" s="7" t="s">
        <v>237</v>
      </c>
      <c r="F33" s="7" t="n">
        <v>0.801</v>
      </c>
      <c r="G33" s="7" t="s">
        <v>233</v>
      </c>
      <c r="H33" s="7" t="s">
        <v>234</v>
      </c>
    </row>
    <row r="34" customFormat="false" ht="15" hidden="false" customHeight="false" outlineLevel="0" collapsed="false">
      <c r="A34" s="7" t="s">
        <v>148</v>
      </c>
      <c r="B34" s="7" t="n">
        <v>2794396</v>
      </c>
      <c r="C34" s="7" t="n">
        <v>0.3026</v>
      </c>
      <c r="D34" s="7" t="s">
        <v>230</v>
      </c>
      <c r="E34" s="7" t="s">
        <v>237</v>
      </c>
      <c r="F34" s="7" t="n">
        <v>0.746</v>
      </c>
      <c r="G34" s="7" t="s">
        <v>231</v>
      </c>
      <c r="H34" s="7" t="s">
        <v>232</v>
      </c>
    </row>
    <row r="35" customFormat="false" ht="15" hidden="false" customHeight="false" outlineLevel="0" collapsed="false">
      <c r="A35" s="7" t="s">
        <v>149</v>
      </c>
      <c r="B35" s="7" t="n">
        <v>2791072</v>
      </c>
      <c r="C35" s="7" t="n">
        <v>0.3127</v>
      </c>
      <c r="D35" s="7" t="s">
        <v>230</v>
      </c>
      <c r="E35" s="7" t="s">
        <v>237</v>
      </c>
      <c r="F35" s="7" t="n">
        <v>0.789</v>
      </c>
      <c r="G35" s="7" t="s">
        <v>231</v>
      </c>
      <c r="H35" s="7" t="s">
        <v>232</v>
      </c>
    </row>
    <row r="36" customFormat="false" ht="15" hidden="false" customHeight="false" outlineLevel="0" collapsed="false">
      <c r="A36" s="7" t="s">
        <v>150</v>
      </c>
      <c r="B36" s="7" t="n">
        <v>2787681</v>
      </c>
      <c r="C36" s="7" t="n">
        <v>0.3229</v>
      </c>
      <c r="D36" s="7" t="s">
        <v>230</v>
      </c>
      <c r="E36" s="7" t="s">
        <v>237</v>
      </c>
      <c r="F36" s="7" t="n">
        <v>0.796</v>
      </c>
      <c r="G36" s="7" t="s">
        <v>233</v>
      </c>
      <c r="H36" s="7" t="s">
        <v>234</v>
      </c>
    </row>
    <row r="37" customFormat="false" ht="15" hidden="false" customHeight="false" outlineLevel="0" collapsed="false">
      <c r="A37" s="7" t="s">
        <v>152</v>
      </c>
      <c r="B37" s="7" t="n">
        <v>2787396</v>
      </c>
      <c r="C37" s="7" t="n">
        <v>0.333</v>
      </c>
      <c r="D37" s="7" t="s">
        <v>230</v>
      </c>
      <c r="E37" s="7" t="s">
        <v>237</v>
      </c>
      <c r="F37" s="7" t="n">
        <v>0.805</v>
      </c>
      <c r="G37" s="7" t="s">
        <v>233</v>
      </c>
      <c r="H37" s="7" t="s">
        <v>234</v>
      </c>
    </row>
    <row r="38" customFormat="false" ht="15" hidden="false" customHeight="false" outlineLevel="0" collapsed="false">
      <c r="A38" s="7" t="s">
        <v>154</v>
      </c>
      <c r="B38" s="7" t="n">
        <v>2784106</v>
      </c>
      <c r="C38" s="7" t="n">
        <v>0.3432</v>
      </c>
      <c r="D38" s="7" t="s">
        <v>230</v>
      </c>
      <c r="E38" s="7" t="s">
        <v>237</v>
      </c>
      <c r="F38" s="7" t="n">
        <v>0.795</v>
      </c>
      <c r="G38" s="7" t="s">
        <v>233</v>
      </c>
      <c r="H38" s="7" t="s">
        <v>234</v>
      </c>
    </row>
    <row r="39" customFormat="false" ht="15" hidden="false" customHeight="false" outlineLevel="0" collapsed="false">
      <c r="A39" s="7" t="s">
        <v>155</v>
      </c>
      <c r="B39" s="7" t="n">
        <v>2779247</v>
      </c>
      <c r="C39" s="7" t="n">
        <v>0.3533</v>
      </c>
      <c r="D39" s="7" t="s">
        <v>230</v>
      </c>
      <c r="E39" s="7" t="s">
        <v>237</v>
      </c>
      <c r="F39" s="7" t="n">
        <v>0.802</v>
      </c>
      <c r="G39" s="7" t="s">
        <v>233</v>
      </c>
      <c r="H39" s="7" t="s">
        <v>234</v>
      </c>
    </row>
    <row r="40" customFormat="false" ht="15" hidden="false" customHeight="false" outlineLevel="0" collapsed="false">
      <c r="A40" s="7" t="s">
        <v>156</v>
      </c>
      <c r="B40" s="7" t="n">
        <v>2768707</v>
      </c>
      <c r="C40" s="7" t="n">
        <v>0.3634</v>
      </c>
      <c r="D40" s="7" t="s">
        <v>230</v>
      </c>
      <c r="E40" s="7" t="s">
        <v>237</v>
      </c>
      <c r="F40" s="7" t="n">
        <v>0.81</v>
      </c>
      <c r="G40" s="7" t="s">
        <v>235</v>
      </c>
      <c r="H40" s="7" t="s">
        <v>236</v>
      </c>
    </row>
    <row r="41" customFormat="false" ht="15" hidden="false" customHeight="false" outlineLevel="0" collapsed="false">
      <c r="A41" s="7" t="s">
        <v>157</v>
      </c>
      <c r="B41" s="7" t="n">
        <v>2768539</v>
      </c>
      <c r="C41" s="7" t="n">
        <v>0.3735</v>
      </c>
      <c r="D41" s="7" t="s">
        <v>230</v>
      </c>
      <c r="E41" s="7" t="s">
        <v>237</v>
      </c>
      <c r="F41" s="7" t="n">
        <v>0.785</v>
      </c>
      <c r="G41" s="7" t="s">
        <v>231</v>
      </c>
      <c r="H41" s="7" t="s">
        <v>232</v>
      </c>
    </row>
    <row r="42" customFormat="false" ht="15" hidden="false" customHeight="false" outlineLevel="0" collapsed="false">
      <c r="A42" s="7" t="s">
        <v>158</v>
      </c>
      <c r="B42" s="7" t="n">
        <v>2767570</v>
      </c>
      <c r="C42" s="7" t="n">
        <v>0.3835</v>
      </c>
      <c r="D42" s="7" t="s">
        <v>230</v>
      </c>
      <c r="E42" s="7" t="s">
        <v>237</v>
      </c>
      <c r="F42" s="7" t="n">
        <v>0.788</v>
      </c>
      <c r="G42" s="7" t="s">
        <v>231</v>
      </c>
      <c r="H42" s="7" t="s">
        <v>232</v>
      </c>
    </row>
    <row r="43" customFormat="false" ht="15" hidden="false" customHeight="false" outlineLevel="0" collapsed="false">
      <c r="A43" s="7" t="s">
        <v>159</v>
      </c>
      <c r="B43" s="7" t="n">
        <v>2765628</v>
      </c>
      <c r="C43" s="7" t="n">
        <v>0.3936</v>
      </c>
      <c r="D43" s="7" t="s">
        <v>230</v>
      </c>
      <c r="E43" s="7" t="s">
        <v>237</v>
      </c>
      <c r="F43" s="7" t="n">
        <v>0.799</v>
      </c>
      <c r="G43" s="7" t="s">
        <v>233</v>
      </c>
      <c r="H43" s="7" t="s">
        <v>234</v>
      </c>
    </row>
    <row r="44" customFormat="false" ht="15" hidden="false" customHeight="false" outlineLevel="0" collapsed="false">
      <c r="A44" s="7" t="s">
        <v>160</v>
      </c>
      <c r="B44" s="7" t="n">
        <v>2765587</v>
      </c>
      <c r="C44" s="7" t="n">
        <v>0.4037</v>
      </c>
      <c r="D44" s="7" t="s">
        <v>230</v>
      </c>
      <c r="E44" s="7" t="s">
        <v>237</v>
      </c>
      <c r="F44" s="7" t="n">
        <v>0.801</v>
      </c>
      <c r="G44" s="7" t="s">
        <v>233</v>
      </c>
      <c r="H44" s="7" t="s">
        <v>234</v>
      </c>
    </row>
    <row r="45" customFormat="false" ht="15" hidden="false" customHeight="false" outlineLevel="0" collapsed="false">
      <c r="A45" s="7" t="s">
        <v>161</v>
      </c>
      <c r="B45" s="7" t="n">
        <v>2759529</v>
      </c>
      <c r="C45" s="7" t="n">
        <v>0.4137</v>
      </c>
      <c r="D45" s="7" t="s">
        <v>230</v>
      </c>
      <c r="E45" s="7" t="s">
        <v>237</v>
      </c>
      <c r="F45" s="7" t="n">
        <v>0.793</v>
      </c>
      <c r="G45" s="7" t="s">
        <v>233</v>
      </c>
      <c r="H45" s="7" t="s">
        <v>234</v>
      </c>
    </row>
    <row r="46" customFormat="false" ht="15" hidden="false" customHeight="false" outlineLevel="0" collapsed="false">
      <c r="A46" s="7" t="s">
        <v>163</v>
      </c>
      <c r="B46" s="7" t="n">
        <v>2759302</v>
      </c>
      <c r="C46" s="7" t="n">
        <v>0.4238</v>
      </c>
      <c r="D46" s="7" t="s">
        <v>230</v>
      </c>
      <c r="E46" s="7" t="s">
        <v>237</v>
      </c>
      <c r="F46" s="7" t="n">
        <v>0.788</v>
      </c>
      <c r="G46" s="7" t="s">
        <v>231</v>
      </c>
      <c r="H46" s="7" t="s">
        <v>232</v>
      </c>
    </row>
    <row r="47" customFormat="false" ht="15" hidden="false" customHeight="false" outlineLevel="0" collapsed="false">
      <c r="A47" s="7" t="s">
        <v>164</v>
      </c>
      <c r="B47" s="7" t="n">
        <v>2759190</v>
      </c>
      <c r="C47" s="7" t="n">
        <v>0.4338</v>
      </c>
      <c r="D47" s="7" t="s">
        <v>230</v>
      </c>
      <c r="E47" s="7" t="s">
        <v>237</v>
      </c>
      <c r="F47" s="7" t="n">
        <v>0.805</v>
      </c>
      <c r="G47" s="7" t="s">
        <v>233</v>
      </c>
      <c r="H47" s="7" t="s">
        <v>234</v>
      </c>
    </row>
    <row r="48" customFormat="false" ht="15" hidden="false" customHeight="false" outlineLevel="0" collapsed="false">
      <c r="A48" s="7" t="s">
        <v>165</v>
      </c>
      <c r="B48" s="7" t="n">
        <v>2757933</v>
      </c>
      <c r="C48" s="7" t="n">
        <v>0.4439</v>
      </c>
      <c r="D48" s="7" t="s">
        <v>230</v>
      </c>
      <c r="E48" s="7" t="s">
        <v>237</v>
      </c>
      <c r="F48" s="7" t="n">
        <v>0.791</v>
      </c>
      <c r="G48" s="7" t="s">
        <v>233</v>
      </c>
      <c r="H48" s="7" t="s">
        <v>234</v>
      </c>
    </row>
    <row r="49" customFormat="false" ht="15" hidden="false" customHeight="false" outlineLevel="0" collapsed="false">
      <c r="A49" s="7" t="s">
        <v>166</v>
      </c>
      <c r="B49" s="7" t="n">
        <v>2756382</v>
      </c>
      <c r="C49" s="7" t="n">
        <v>0.4539</v>
      </c>
      <c r="D49" s="7" t="s">
        <v>230</v>
      </c>
      <c r="E49" s="7" t="s">
        <v>237</v>
      </c>
      <c r="F49" s="7" t="n">
        <v>0.801</v>
      </c>
      <c r="G49" s="7" t="s">
        <v>233</v>
      </c>
      <c r="H49" s="7" t="s">
        <v>234</v>
      </c>
    </row>
    <row r="50" customFormat="false" ht="15" hidden="false" customHeight="false" outlineLevel="0" collapsed="false">
      <c r="A50" s="7" t="s">
        <v>167</v>
      </c>
      <c r="B50" s="7" t="n">
        <v>2755571</v>
      </c>
      <c r="C50" s="7" t="n">
        <v>0.4639</v>
      </c>
      <c r="D50" s="7" t="s">
        <v>230</v>
      </c>
      <c r="E50" s="7" t="s">
        <v>237</v>
      </c>
      <c r="F50" s="7" t="n">
        <v>0.795</v>
      </c>
      <c r="G50" s="7" t="s">
        <v>233</v>
      </c>
      <c r="H50" s="7" t="s">
        <v>234</v>
      </c>
    </row>
    <row r="51" customFormat="false" ht="15" hidden="false" customHeight="false" outlineLevel="0" collapsed="false">
      <c r="A51" s="7" t="s">
        <v>168</v>
      </c>
      <c r="B51" s="7" t="n">
        <v>2754109</v>
      </c>
      <c r="C51" s="7" t="n">
        <v>0.474</v>
      </c>
      <c r="D51" s="7" t="s">
        <v>230</v>
      </c>
      <c r="E51" s="7" t="s">
        <v>237</v>
      </c>
      <c r="F51" s="7" t="n">
        <v>0.808</v>
      </c>
      <c r="G51" s="7" t="s">
        <v>235</v>
      </c>
      <c r="H51" s="7" t="s">
        <v>236</v>
      </c>
    </row>
    <row r="52" customFormat="false" ht="15" hidden="false" customHeight="false" outlineLevel="0" collapsed="false">
      <c r="A52" s="7" t="s">
        <v>169</v>
      </c>
      <c r="B52" s="7" t="n">
        <v>2752573</v>
      </c>
      <c r="C52" s="7" t="n">
        <v>0.484</v>
      </c>
      <c r="D52" s="7" t="s">
        <v>230</v>
      </c>
      <c r="E52" s="7" t="s">
        <v>237</v>
      </c>
      <c r="F52" s="7" t="n">
        <v>0.791</v>
      </c>
      <c r="G52" s="7" t="s">
        <v>233</v>
      </c>
      <c r="H52" s="7" t="s">
        <v>234</v>
      </c>
    </row>
    <row r="53" customFormat="false" ht="15" hidden="false" customHeight="false" outlineLevel="0" collapsed="false">
      <c r="A53" s="7" t="s">
        <v>170</v>
      </c>
      <c r="B53" s="7" t="n">
        <v>2751893</v>
      </c>
      <c r="C53" s="7" t="n">
        <v>0.494</v>
      </c>
      <c r="D53" s="7" t="s">
        <v>230</v>
      </c>
      <c r="E53" s="7" t="s">
        <v>237</v>
      </c>
      <c r="F53" s="7" t="n">
        <v>0.807</v>
      </c>
      <c r="G53" s="7" t="s">
        <v>235</v>
      </c>
      <c r="H53" s="7" t="s">
        <v>236</v>
      </c>
    </row>
    <row r="54" customFormat="false" ht="15" hidden="false" customHeight="false" outlineLevel="0" collapsed="false">
      <c r="A54" s="7" t="s">
        <v>171</v>
      </c>
      <c r="B54" s="7" t="n">
        <v>2751058</v>
      </c>
      <c r="C54" s="7" t="n">
        <v>0.504</v>
      </c>
      <c r="D54" s="7" t="s">
        <v>230</v>
      </c>
      <c r="E54" s="7" t="s">
        <v>237</v>
      </c>
      <c r="F54" s="7" t="n">
        <v>0.807</v>
      </c>
      <c r="G54" s="7" t="s">
        <v>233</v>
      </c>
      <c r="H54" s="7" t="s">
        <v>234</v>
      </c>
    </row>
    <row r="55" customFormat="false" ht="15" hidden="false" customHeight="false" outlineLevel="0" collapsed="false">
      <c r="A55" s="7" t="s">
        <v>172</v>
      </c>
      <c r="B55" s="7" t="n">
        <v>2750307</v>
      </c>
      <c r="C55" s="7" t="n">
        <v>0.514</v>
      </c>
      <c r="D55" s="7" t="s">
        <v>230</v>
      </c>
      <c r="E55" s="7" t="s">
        <v>237</v>
      </c>
      <c r="F55" s="7" t="n">
        <v>0.818</v>
      </c>
      <c r="G55" s="7" t="s">
        <v>235</v>
      </c>
      <c r="H55" s="7" t="s">
        <v>236</v>
      </c>
    </row>
    <row r="56" customFormat="false" ht="15" hidden="false" customHeight="false" outlineLevel="0" collapsed="false">
      <c r="A56" s="7" t="s">
        <v>173</v>
      </c>
      <c r="B56" s="7" t="n">
        <v>2747121</v>
      </c>
      <c r="C56" s="7" t="n">
        <v>0.524</v>
      </c>
      <c r="D56" s="7" t="s">
        <v>230</v>
      </c>
      <c r="E56" s="7" t="s">
        <v>238</v>
      </c>
      <c r="F56" s="7" t="n">
        <v>0.827</v>
      </c>
      <c r="G56" s="7" t="s">
        <v>235</v>
      </c>
      <c r="H56" s="7" t="s">
        <v>236</v>
      </c>
    </row>
    <row r="57" customFormat="false" ht="15" hidden="false" customHeight="false" outlineLevel="0" collapsed="false">
      <c r="A57" s="7" t="s">
        <v>174</v>
      </c>
      <c r="B57" s="7" t="n">
        <v>2745111</v>
      </c>
      <c r="C57" s="7" t="n">
        <v>0.534</v>
      </c>
      <c r="D57" s="7" t="s">
        <v>230</v>
      </c>
      <c r="E57" s="7" t="s">
        <v>238</v>
      </c>
      <c r="F57" s="7" t="n">
        <v>0.819</v>
      </c>
      <c r="G57" s="7" t="s">
        <v>235</v>
      </c>
      <c r="H57" s="7" t="s">
        <v>236</v>
      </c>
    </row>
    <row r="58" customFormat="false" ht="15" hidden="false" customHeight="false" outlineLevel="0" collapsed="false">
      <c r="A58" s="7" t="s">
        <v>175</v>
      </c>
      <c r="B58" s="7" t="n">
        <v>2739916</v>
      </c>
      <c r="C58" s="7" t="n">
        <v>0.544</v>
      </c>
      <c r="D58" s="7" t="s">
        <v>230</v>
      </c>
      <c r="E58" s="7" t="s">
        <v>238</v>
      </c>
      <c r="F58" s="7" t="n">
        <v>0.781</v>
      </c>
      <c r="G58" s="7" t="s">
        <v>231</v>
      </c>
      <c r="H58" s="7" t="s">
        <v>232</v>
      </c>
    </row>
    <row r="59" customFormat="false" ht="15" hidden="false" customHeight="false" outlineLevel="0" collapsed="false">
      <c r="A59" s="7" t="s">
        <v>176</v>
      </c>
      <c r="B59" s="7" t="n">
        <v>2735812</v>
      </c>
      <c r="C59" s="7" t="n">
        <v>0.554</v>
      </c>
      <c r="D59" s="7" t="s">
        <v>230</v>
      </c>
      <c r="E59" s="7" t="s">
        <v>238</v>
      </c>
      <c r="F59" s="7" t="n">
        <v>0.804</v>
      </c>
      <c r="G59" s="7" t="s">
        <v>233</v>
      </c>
      <c r="H59" s="7" t="s">
        <v>234</v>
      </c>
    </row>
    <row r="60" customFormat="false" ht="15" hidden="false" customHeight="false" outlineLevel="0" collapsed="false">
      <c r="A60" s="7" t="s">
        <v>177</v>
      </c>
      <c r="B60" s="7" t="n">
        <v>2735438</v>
      </c>
      <c r="C60" s="7" t="n">
        <v>0.5639</v>
      </c>
      <c r="D60" s="7" t="s">
        <v>230</v>
      </c>
      <c r="E60" s="7" t="s">
        <v>238</v>
      </c>
      <c r="F60" s="7" t="n">
        <v>0.8</v>
      </c>
      <c r="G60" s="7" t="s">
        <v>233</v>
      </c>
      <c r="H60" s="7" t="s">
        <v>234</v>
      </c>
    </row>
    <row r="61" customFormat="false" ht="15" hidden="false" customHeight="false" outlineLevel="0" collapsed="false">
      <c r="A61" s="7" t="s">
        <v>178</v>
      </c>
      <c r="B61" s="7" t="n">
        <v>2734883</v>
      </c>
      <c r="C61" s="7" t="n">
        <v>0.5739</v>
      </c>
      <c r="D61" s="7" t="s">
        <v>230</v>
      </c>
      <c r="E61" s="7" t="s">
        <v>238</v>
      </c>
      <c r="F61" s="7" t="n">
        <v>0.789</v>
      </c>
      <c r="G61" s="7" t="s">
        <v>233</v>
      </c>
      <c r="H61" s="7" t="s">
        <v>234</v>
      </c>
    </row>
    <row r="62" customFormat="false" ht="15" hidden="false" customHeight="false" outlineLevel="0" collapsed="false">
      <c r="A62" s="7" t="s">
        <v>179</v>
      </c>
      <c r="B62" s="7" t="n">
        <v>2734751</v>
      </c>
      <c r="C62" s="7" t="n">
        <v>0.5839</v>
      </c>
      <c r="D62" s="7" t="s">
        <v>230</v>
      </c>
      <c r="E62" s="7" t="s">
        <v>238</v>
      </c>
      <c r="F62" s="7" t="n">
        <v>0.792</v>
      </c>
      <c r="G62" s="7" t="s">
        <v>233</v>
      </c>
      <c r="H62" s="7" t="s">
        <v>234</v>
      </c>
    </row>
    <row r="63" customFormat="false" ht="15" hidden="false" customHeight="false" outlineLevel="0" collapsed="false">
      <c r="A63" s="7" t="s">
        <v>180</v>
      </c>
      <c r="B63" s="7" t="n">
        <v>2733720</v>
      </c>
      <c r="C63" s="7" t="n">
        <v>0.5938</v>
      </c>
      <c r="D63" s="7" t="s">
        <v>230</v>
      </c>
      <c r="E63" s="7" t="s">
        <v>238</v>
      </c>
      <c r="F63" s="7" t="n">
        <v>0.81</v>
      </c>
      <c r="G63" s="7" t="s">
        <v>235</v>
      </c>
      <c r="H63" s="7" t="s">
        <v>236</v>
      </c>
    </row>
    <row r="64" customFormat="false" ht="15" hidden="false" customHeight="false" outlineLevel="0" collapsed="false">
      <c r="A64" s="7" t="s">
        <v>181</v>
      </c>
      <c r="B64" s="7" t="n">
        <v>2731410</v>
      </c>
      <c r="C64" s="7" t="n">
        <v>0.6038</v>
      </c>
      <c r="D64" s="7" t="s">
        <v>230</v>
      </c>
      <c r="E64" s="7" t="s">
        <v>238</v>
      </c>
      <c r="F64" s="7" t="n">
        <v>0.781</v>
      </c>
      <c r="G64" s="7" t="s">
        <v>231</v>
      </c>
      <c r="H64" s="7" t="s">
        <v>232</v>
      </c>
    </row>
    <row r="65" customFormat="false" ht="15" hidden="false" customHeight="false" outlineLevel="0" collapsed="false">
      <c r="A65" s="7" t="s">
        <v>182</v>
      </c>
      <c r="B65" s="7" t="n">
        <v>2725085</v>
      </c>
      <c r="C65" s="7" t="n">
        <v>0.6137</v>
      </c>
      <c r="D65" s="7" t="s">
        <v>230</v>
      </c>
      <c r="E65" s="7" t="s">
        <v>238</v>
      </c>
      <c r="F65" s="7" t="n">
        <v>0.814</v>
      </c>
      <c r="G65" s="7" t="s">
        <v>235</v>
      </c>
      <c r="H65" s="7" t="s">
        <v>236</v>
      </c>
    </row>
    <row r="66" customFormat="false" ht="15" hidden="false" customHeight="false" outlineLevel="0" collapsed="false">
      <c r="A66" s="7" t="s">
        <v>183</v>
      </c>
      <c r="B66" s="7" t="n">
        <v>2724678</v>
      </c>
      <c r="C66" s="7" t="n">
        <v>0.6236</v>
      </c>
      <c r="D66" s="7" t="s">
        <v>230</v>
      </c>
      <c r="E66" s="7" t="s">
        <v>238</v>
      </c>
      <c r="F66" s="7" t="n">
        <v>0.788</v>
      </c>
      <c r="G66" s="7" t="s">
        <v>231</v>
      </c>
      <c r="H66" s="7" t="s">
        <v>232</v>
      </c>
    </row>
    <row r="67" customFormat="false" ht="15" hidden="false" customHeight="false" outlineLevel="0" collapsed="false">
      <c r="A67" s="7" t="s">
        <v>184</v>
      </c>
      <c r="B67" s="7" t="n">
        <v>2718086</v>
      </c>
      <c r="C67" s="7" t="n">
        <v>0.6335</v>
      </c>
      <c r="D67" s="7" t="s">
        <v>230</v>
      </c>
      <c r="E67" s="7" t="s">
        <v>238</v>
      </c>
      <c r="F67" s="7" t="n">
        <v>0.836</v>
      </c>
      <c r="G67" s="7" t="s">
        <v>235</v>
      </c>
      <c r="H67" s="7" t="s">
        <v>236</v>
      </c>
    </row>
    <row r="68" customFormat="false" ht="15" hidden="false" customHeight="false" outlineLevel="0" collapsed="false">
      <c r="A68" s="7" t="s">
        <v>185</v>
      </c>
      <c r="B68" s="7" t="n">
        <v>2715818</v>
      </c>
      <c r="C68" s="7" t="n">
        <v>0.6434</v>
      </c>
      <c r="D68" s="7" t="s">
        <v>230</v>
      </c>
      <c r="E68" s="7" t="s">
        <v>238</v>
      </c>
      <c r="F68" s="7" t="n">
        <v>0.794</v>
      </c>
      <c r="G68" s="7" t="s">
        <v>233</v>
      </c>
      <c r="H68" s="7" t="s">
        <v>234</v>
      </c>
    </row>
    <row r="69" customFormat="false" ht="15" hidden="false" customHeight="false" outlineLevel="0" collapsed="false">
      <c r="A69" s="7" t="s">
        <v>186</v>
      </c>
      <c r="B69" s="7" t="n">
        <v>2713847</v>
      </c>
      <c r="C69" s="7" t="n">
        <v>0.6533</v>
      </c>
      <c r="D69" s="7" t="s">
        <v>230</v>
      </c>
      <c r="E69" s="7" t="s">
        <v>238</v>
      </c>
      <c r="F69" s="7" t="n">
        <v>0.768</v>
      </c>
      <c r="G69" s="7" t="s">
        <v>231</v>
      </c>
      <c r="H69" s="7" t="s">
        <v>232</v>
      </c>
    </row>
    <row r="70" customFormat="false" ht="15" hidden="false" customHeight="false" outlineLevel="0" collapsed="false">
      <c r="A70" s="7" t="s">
        <v>187</v>
      </c>
      <c r="B70" s="7" t="n">
        <v>2711809</v>
      </c>
      <c r="C70" s="7" t="n">
        <v>0.6631</v>
      </c>
      <c r="D70" s="7" t="s">
        <v>230</v>
      </c>
      <c r="E70" s="7" t="s">
        <v>238</v>
      </c>
      <c r="F70" s="7" t="n">
        <v>0.833</v>
      </c>
      <c r="G70" s="7" t="s">
        <v>235</v>
      </c>
      <c r="H70" s="7" t="s">
        <v>236</v>
      </c>
    </row>
    <row r="71" customFormat="false" ht="15" hidden="false" customHeight="false" outlineLevel="0" collapsed="false">
      <c r="A71" s="7" t="s">
        <v>188</v>
      </c>
      <c r="B71" s="7" t="n">
        <v>2711386</v>
      </c>
      <c r="C71" s="7" t="n">
        <v>0.673</v>
      </c>
      <c r="D71" s="7" t="s">
        <v>230</v>
      </c>
      <c r="E71" s="7" t="s">
        <v>238</v>
      </c>
      <c r="F71" s="7" t="n">
        <v>0.809</v>
      </c>
      <c r="G71" s="7" t="s">
        <v>235</v>
      </c>
      <c r="H71" s="7" t="s">
        <v>236</v>
      </c>
    </row>
    <row r="72" customFormat="false" ht="15" hidden="false" customHeight="false" outlineLevel="0" collapsed="false">
      <c r="A72" s="7" t="s">
        <v>189</v>
      </c>
      <c r="B72" s="7" t="n">
        <v>2710590</v>
      </c>
      <c r="C72" s="7" t="n">
        <v>0.6829</v>
      </c>
      <c r="D72" s="7" t="s">
        <v>230</v>
      </c>
      <c r="E72" s="7" t="s">
        <v>238</v>
      </c>
      <c r="F72" s="7" t="n">
        <v>0.786</v>
      </c>
      <c r="G72" s="7" t="s">
        <v>231</v>
      </c>
      <c r="H72" s="7" t="s">
        <v>232</v>
      </c>
    </row>
    <row r="73" customFormat="false" ht="15" hidden="false" customHeight="false" outlineLevel="0" collapsed="false">
      <c r="A73" s="7" t="s">
        <v>190</v>
      </c>
      <c r="B73" s="7" t="n">
        <v>2710432</v>
      </c>
      <c r="C73" s="7" t="n">
        <v>0.6928</v>
      </c>
      <c r="D73" s="7" t="s">
        <v>230</v>
      </c>
      <c r="E73" s="7" t="s">
        <v>238</v>
      </c>
      <c r="F73" s="7" t="n">
        <v>0.813</v>
      </c>
      <c r="G73" s="7" t="s">
        <v>235</v>
      </c>
      <c r="H73" s="7" t="s">
        <v>236</v>
      </c>
    </row>
    <row r="74" customFormat="false" ht="15" hidden="false" customHeight="false" outlineLevel="0" collapsed="false">
      <c r="A74" s="7" t="s">
        <v>191</v>
      </c>
      <c r="B74" s="7" t="n">
        <v>2708199</v>
      </c>
      <c r="C74" s="7" t="n">
        <v>0.7026</v>
      </c>
      <c r="D74" s="7" t="s">
        <v>237</v>
      </c>
      <c r="E74" s="7" t="s">
        <v>238</v>
      </c>
      <c r="F74" s="7" t="n">
        <v>0.797</v>
      </c>
      <c r="G74" s="7" t="s">
        <v>233</v>
      </c>
      <c r="H74" s="7" t="s">
        <v>239</v>
      </c>
    </row>
    <row r="75" customFormat="false" ht="15" hidden="false" customHeight="false" outlineLevel="0" collapsed="false">
      <c r="A75" s="7" t="s">
        <v>192</v>
      </c>
      <c r="B75" s="7" t="n">
        <v>2705085</v>
      </c>
      <c r="C75" s="7" t="n">
        <v>0.7125</v>
      </c>
      <c r="D75" s="7" t="s">
        <v>237</v>
      </c>
      <c r="E75" s="7" t="s">
        <v>238</v>
      </c>
      <c r="F75" s="7" t="n">
        <v>0.817</v>
      </c>
      <c r="G75" s="7" t="s">
        <v>235</v>
      </c>
      <c r="H75" s="7" t="s">
        <v>240</v>
      </c>
    </row>
    <row r="76" customFormat="false" ht="15" hidden="false" customHeight="false" outlineLevel="0" collapsed="false">
      <c r="A76" s="7" t="s">
        <v>193</v>
      </c>
      <c r="B76" s="7" t="n">
        <v>2703314</v>
      </c>
      <c r="C76" s="7" t="n">
        <v>0.7223</v>
      </c>
      <c r="D76" s="7" t="s">
        <v>237</v>
      </c>
      <c r="E76" s="7" t="s">
        <v>238</v>
      </c>
      <c r="F76" s="7" t="n">
        <v>0.791</v>
      </c>
      <c r="G76" s="7" t="s">
        <v>233</v>
      </c>
      <c r="H76" s="7" t="s">
        <v>239</v>
      </c>
    </row>
    <row r="77" customFormat="false" ht="15" hidden="false" customHeight="false" outlineLevel="0" collapsed="false">
      <c r="A77" s="7" t="s">
        <v>194</v>
      </c>
      <c r="B77" s="7" t="n">
        <v>2700186</v>
      </c>
      <c r="C77" s="7" t="n">
        <v>0.7322</v>
      </c>
      <c r="D77" s="7" t="s">
        <v>237</v>
      </c>
      <c r="E77" s="7" t="s">
        <v>238</v>
      </c>
      <c r="F77" s="7" t="n">
        <v>0.831</v>
      </c>
      <c r="G77" s="7" t="s">
        <v>235</v>
      </c>
      <c r="H77" s="7" t="s">
        <v>240</v>
      </c>
    </row>
    <row r="78" customFormat="false" ht="15" hidden="false" customHeight="false" outlineLevel="0" collapsed="false">
      <c r="A78" s="7" t="s">
        <v>195</v>
      </c>
      <c r="B78" s="7" t="n">
        <v>2694122</v>
      </c>
      <c r="C78" s="7" t="n">
        <v>0.742</v>
      </c>
      <c r="D78" s="7" t="s">
        <v>237</v>
      </c>
      <c r="E78" s="7" t="s">
        <v>238</v>
      </c>
      <c r="F78" s="7" t="n">
        <v>0.786</v>
      </c>
      <c r="G78" s="7" t="s">
        <v>231</v>
      </c>
      <c r="H78" s="7" t="s">
        <v>241</v>
      </c>
    </row>
    <row r="79" customFormat="false" ht="15" hidden="false" customHeight="false" outlineLevel="0" collapsed="false">
      <c r="A79" s="7" t="s">
        <v>196</v>
      </c>
      <c r="B79" s="7" t="n">
        <v>2693090</v>
      </c>
      <c r="C79" s="7" t="n">
        <v>0.7518</v>
      </c>
      <c r="D79" s="7" t="s">
        <v>237</v>
      </c>
      <c r="E79" s="7" t="s">
        <v>238</v>
      </c>
      <c r="F79" s="7" t="n">
        <v>0.818</v>
      </c>
      <c r="G79" s="7" t="s">
        <v>235</v>
      </c>
      <c r="H79" s="7" t="s">
        <v>240</v>
      </c>
    </row>
    <row r="80" customFormat="false" ht="15" hidden="false" customHeight="false" outlineLevel="0" collapsed="false">
      <c r="A80" s="7" t="s">
        <v>197</v>
      </c>
      <c r="B80" s="7" t="n">
        <v>2680185</v>
      </c>
      <c r="C80" s="7" t="n">
        <v>0.7615</v>
      </c>
      <c r="D80" s="7" t="s">
        <v>237</v>
      </c>
      <c r="E80" s="7" t="s">
        <v>238</v>
      </c>
      <c r="F80" s="7" t="n">
        <v>0.793</v>
      </c>
      <c r="G80" s="7" t="s">
        <v>233</v>
      </c>
      <c r="H80" s="7" t="s">
        <v>239</v>
      </c>
    </row>
    <row r="81" customFormat="false" ht="15" hidden="false" customHeight="false" outlineLevel="0" collapsed="false">
      <c r="A81" s="7" t="s">
        <v>198</v>
      </c>
      <c r="B81" s="7" t="n">
        <v>2675583</v>
      </c>
      <c r="C81" s="7" t="n">
        <v>0.7713</v>
      </c>
      <c r="D81" s="7" t="s">
        <v>237</v>
      </c>
      <c r="E81" s="7" t="s">
        <v>238</v>
      </c>
      <c r="F81" s="7" t="n">
        <v>0.788</v>
      </c>
      <c r="G81" s="7" t="s">
        <v>231</v>
      </c>
      <c r="H81" s="7" t="s">
        <v>241</v>
      </c>
    </row>
    <row r="82" customFormat="false" ht="15" hidden="false" customHeight="false" outlineLevel="0" collapsed="false">
      <c r="A82" s="7" t="s">
        <v>199</v>
      </c>
      <c r="B82" s="7" t="n">
        <v>2670713</v>
      </c>
      <c r="C82" s="7" t="n">
        <v>0.781</v>
      </c>
      <c r="D82" s="7" t="s">
        <v>237</v>
      </c>
      <c r="E82" s="7" t="s">
        <v>238</v>
      </c>
      <c r="F82" s="7" t="n">
        <v>0.837</v>
      </c>
      <c r="G82" s="7" t="s">
        <v>235</v>
      </c>
      <c r="H82" s="7" t="s">
        <v>240</v>
      </c>
    </row>
    <row r="83" customFormat="false" ht="15" hidden="false" customHeight="false" outlineLevel="0" collapsed="false">
      <c r="A83" s="7" t="s">
        <v>200</v>
      </c>
      <c r="B83" s="7" t="n">
        <v>2658661</v>
      </c>
      <c r="C83" s="7" t="n">
        <v>0.7907</v>
      </c>
      <c r="D83" s="7" t="s">
        <v>237</v>
      </c>
      <c r="E83" s="7" t="s">
        <v>238</v>
      </c>
      <c r="F83" s="7" t="n">
        <v>0.793</v>
      </c>
      <c r="G83" s="7" t="s">
        <v>233</v>
      </c>
      <c r="H83" s="7" t="s">
        <v>239</v>
      </c>
    </row>
    <row r="84" customFormat="false" ht="15" hidden="false" customHeight="false" outlineLevel="0" collapsed="false">
      <c r="A84" s="7" t="s">
        <v>201</v>
      </c>
      <c r="B84" s="7" t="n">
        <v>2657889</v>
      </c>
      <c r="C84" s="7" t="n">
        <v>0.8004</v>
      </c>
      <c r="D84" s="7" t="s">
        <v>237</v>
      </c>
      <c r="E84" s="7" t="s">
        <v>238</v>
      </c>
      <c r="F84" s="7" t="n">
        <v>0.822</v>
      </c>
      <c r="G84" s="7" t="s">
        <v>235</v>
      </c>
      <c r="H84" s="7" t="s">
        <v>240</v>
      </c>
    </row>
    <row r="85" customFormat="false" ht="15" hidden="false" customHeight="false" outlineLevel="0" collapsed="false">
      <c r="A85" s="7" t="s">
        <v>202</v>
      </c>
      <c r="B85" s="7" t="n">
        <v>2657780</v>
      </c>
      <c r="C85" s="7" t="n">
        <v>0.81</v>
      </c>
      <c r="D85" s="7" t="s">
        <v>237</v>
      </c>
      <c r="E85" s="7" t="s">
        <v>238</v>
      </c>
      <c r="F85" s="7" t="n">
        <v>0.815</v>
      </c>
      <c r="G85" s="7" t="s">
        <v>235</v>
      </c>
      <c r="H85" s="7" t="s">
        <v>240</v>
      </c>
    </row>
    <row r="86" customFormat="false" ht="15" hidden="false" customHeight="false" outlineLevel="0" collapsed="false">
      <c r="A86" s="7" t="s">
        <v>203</v>
      </c>
      <c r="B86" s="7" t="n">
        <v>2653128</v>
      </c>
      <c r="C86" s="7" t="n">
        <v>0.8197</v>
      </c>
      <c r="D86" s="7" t="s">
        <v>237</v>
      </c>
      <c r="E86" s="7" t="s">
        <v>238</v>
      </c>
      <c r="F86" s="7" t="n">
        <v>0.82</v>
      </c>
      <c r="G86" s="7" t="s">
        <v>235</v>
      </c>
      <c r="H86" s="7" t="s">
        <v>240</v>
      </c>
    </row>
    <row r="87" customFormat="false" ht="15" hidden="false" customHeight="false" outlineLevel="0" collapsed="false">
      <c r="A87" s="7" t="s">
        <v>204</v>
      </c>
      <c r="B87" s="7" t="n">
        <v>2652273</v>
      </c>
      <c r="C87" s="7" t="n">
        <v>0.8294</v>
      </c>
      <c r="D87" s="7" t="s">
        <v>237</v>
      </c>
      <c r="E87" s="7" t="s">
        <v>238</v>
      </c>
      <c r="F87" s="7" t="n">
        <v>0.796</v>
      </c>
      <c r="G87" s="7" t="s">
        <v>233</v>
      </c>
      <c r="H87" s="7" t="s">
        <v>239</v>
      </c>
    </row>
    <row r="88" customFormat="false" ht="15" hidden="false" customHeight="false" outlineLevel="0" collapsed="false">
      <c r="A88" s="7" t="s">
        <v>205</v>
      </c>
      <c r="B88" s="7" t="n">
        <v>2649313</v>
      </c>
      <c r="C88" s="7" t="n">
        <v>0.839</v>
      </c>
      <c r="D88" s="7" t="s">
        <v>237</v>
      </c>
      <c r="E88" s="7" t="s">
        <v>238</v>
      </c>
      <c r="F88" s="7" t="n">
        <v>0.822</v>
      </c>
      <c r="G88" s="7" t="s">
        <v>235</v>
      </c>
      <c r="H88" s="7" t="s">
        <v>240</v>
      </c>
    </row>
    <row r="89" customFormat="false" ht="15" hidden="false" customHeight="false" outlineLevel="0" collapsed="false">
      <c r="A89" s="7" t="s">
        <v>206</v>
      </c>
      <c r="B89" s="7" t="n">
        <v>2640452</v>
      </c>
      <c r="C89" s="7" t="n">
        <v>0.8486</v>
      </c>
      <c r="D89" s="7" t="s">
        <v>237</v>
      </c>
      <c r="E89" s="7" t="s">
        <v>238</v>
      </c>
      <c r="F89" s="7" t="n">
        <v>0.82</v>
      </c>
      <c r="G89" s="7" t="s">
        <v>235</v>
      </c>
      <c r="H89" s="7" t="s">
        <v>240</v>
      </c>
    </row>
    <row r="90" customFormat="false" ht="15" hidden="false" customHeight="false" outlineLevel="0" collapsed="false">
      <c r="A90" s="7" t="s">
        <v>207</v>
      </c>
      <c r="B90" s="7" t="n">
        <v>2637112</v>
      </c>
      <c r="C90" s="7" t="n">
        <v>0.8582</v>
      </c>
      <c r="D90" s="7" t="s">
        <v>237</v>
      </c>
      <c r="E90" s="7" t="s">
        <v>238</v>
      </c>
      <c r="F90" s="7" t="n">
        <v>0.834</v>
      </c>
      <c r="G90" s="7" t="s">
        <v>235</v>
      </c>
      <c r="H90" s="7" t="s">
        <v>240</v>
      </c>
    </row>
    <row r="91" customFormat="false" ht="15" hidden="false" customHeight="false" outlineLevel="0" collapsed="false">
      <c r="A91" s="7" t="s">
        <v>208</v>
      </c>
      <c r="B91" s="7" t="n">
        <v>2635419</v>
      </c>
      <c r="C91" s="7" t="n">
        <v>0.8678</v>
      </c>
      <c r="D91" s="7" t="s">
        <v>237</v>
      </c>
      <c r="E91" s="7" t="s">
        <v>238</v>
      </c>
      <c r="F91" s="7" t="n">
        <v>0.788</v>
      </c>
      <c r="G91" s="7" t="s">
        <v>231</v>
      </c>
      <c r="H91" s="7" t="s">
        <v>241</v>
      </c>
    </row>
    <row r="92" customFormat="false" ht="15" hidden="false" customHeight="false" outlineLevel="0" collapsed="false">
      <c r="A92" s="7" t="s">
        <v>209</v>
      </c>
      <c r="B92" s="7" t="n">
        <v>2634126</v>
      </c>
      <c r="C92" s="7" t="n">
        <v>0.8774</v>
      </c>
      <c r="D92" s="7" t="s">
        <v>237</v>
      </c>
      <c r="E92" s="7" t="s">
        <v>238</v>
      </c>
      <c r="F92" s="7" t="n">
        <v>0.823</v>
      </c>
      <c r="G92" s="7" t="s">
        <v>235</v>
      </c>
      <c r="H92" s="7" t="s">
        <v>240</v>
      </c>
    </row>
    <row r="93" customFormat="false" ht="15" hidden="false" customHeight="false" outlineLevel="0" collapsed="false">
      <c r="A93" s="7" t="s">
        <v>210</v>
      </c>
      <c r="B93" s="7" t="n">
        <v>2632756</v>
      </c>
      <c r="C93" s="7" t="n">
        <v>0.887</v>
      </c>
      <c r="D93" s="7" t="s">
        <v>237</v>
      </c>
      <c r="E93" s="7" t="s">
        <v>238</v>
      </c>
      <c r="F93" s="7" t="n">
        <v>0.829</v>
      </c>
      <c r="G93" s="7" t="s">
        <v>235</v>
      </c>
      <c r="H93" s="7" t="s">
        <v>240</v>
      </c>
    </row>
    <row r="94" customFormat="false" ht="15" hidden="false" customHeight="false" outlineLevel="0" collapsed="false">
      <c r="A94" s="7" t="s">
        <v>211</v>
      </c>
      <c r="B94" s="7" t="n">
        <v>2629881</v>
      </c>
      <c r="C94" s="7" t="n">
        <v>0.8966</v>
      </c>
      <c r="D94" s="7" t="s">
        <v>237</v>
      </c>
      <c r="E94" s="7" t="s">
        <v>238</v>
      </c>
      <c r="F94" s="7" t="n">
        <v>0.83</v>
      </c>
      <c r="G94" s="7" t="s">
        <v>235</v>
      </c>
      <c r="H94" s="7" t="s">
        <v>240</v>
      </c>
    </row>
    <row r="95" customFormat="false" ht="15" hidden="false" customHeight="false" outlineLevel="0" collapsed="false">
      <c r="A95" s="7" t="s">
        <v>212</v>
      </c>
      <c r="B95" s="7" t="n">
        <v>2621723</v>
      </c>
      <c r="C95" s="7" t="n">
        <v>0.9061</v>
      </c>
      <c r="D95" s="7" t="s">
        <v>238</v>
      </c>
      <c r="E95" s="7" t="s">
        <v>238</v>
      </c>
      <c r="F95" s="7" t="n">
        <v>0.815</v>
      </c>
      <c r="G95" s="7" t="s">
        <v>235</v>
      </c>
      <c r="H95" s="7" t="s">
        <v>242</v>
      </c>
    </row>
    <row r="96" customFormat="false" ht="15" hidden="false" customHeight="false" outlineLevel="0" collapsed="false">
      <c r="A96" s="7" t="s">
        <v>213</v>
      </c>
      <c r="B96" s="7" t="n">
        <v>2621019</v>
      </c>
      <c r="C96" s="7" t="n">
        <v>0.9157</v>
      </c>
      <c r="D96" s="7" t="s">
        <v>238</v>
      </c>
      <c r="E96" s="7" t="s">
        <v>238</v>
      </c>
      <c r="F96" s="7" t="n">
        <v>0.795</v>
      </c>
      <c r="G96" s="7" t="s">
        <v>233</v>
      </c>
      <c r="H96" s="7" t="s">
        <v>243</v>
      </c>
    </row>
    <row r="97" customFormat="false" ht="15" hidden="false" customHeight="false" outlineLevel="0" collapsed="false">
      <c r="A97" s="7" t="s">
        <v>214</v>
      </c>
      <c r="B97" s="7" t="n">
        <v>2618846</v>
      </c>
      <c r="C97" s="7" t="n">
        <v>0.9252</v>
      </c>
      <c r="D97" s="7" t="s">
        <v>238</v>
      </c>
      <c r="E97" s="7" t="s">
        <v>238</v>
      </c>
      <c r="F97" s="7" t="n">
        <v>0.806</v>
      </c>
      <c r="G97" s="7" t="s">
        <v>233</v>
      </c>
      <c r="H97" s="7" t="s">
        <v>243</v>
      </c>
    </row>
    <row r="98" customFormat="false" ht="15" hidden="false" customHeight="false" outlineLevel="0" collapsed="false">
      <c r="A98" s="7" t="s">
        <v>215</v>
      </c>
      <c r="B98" s="7" t="n">
        <v>2604074</v>
      </c>
      <c r="C98" s="7" t="n">
        <v>0.9347</v>
      </c>
      <c r="D98" s="7" t="s">
        <v>238</v>
      </c>
      <c r="E98" s="7" t="s">
        <v>238</v>
      </c>
      <c r="F98" s="7" t="n">
        <v>0.798</v>
      </c>
      <c r="G98" s="7" t="s">
        <v>233</v>
      </c>
      <c r="H98" s="7" t="s">
        <v>243</v>
      </c>
    </row>
    <row r="99" customFormat="false" ht="15" hidden="false" customHeight="false" outlineLevel="0" collapsed="false">
      <c r="A99" s="7" t="s">
        <v>216</v>
      </c>
      <c r="B99" s="7" t="n">
        <v>2588500</v>
      </c>
      <c r="C99" s="7" t="n">
        <v>0.9441</v>
      </c>
      <c r="D99" s="7" t="s">
        <v>238</v>
      </c>
      <c r="E99" s="7" t="s">
        <v>238</v>
      </c>
      <c r="F99" s="7" t="n">
        <v>0.832</v>
      </c>
      <c r="G99" s="7" t="s">
        <v>235</v>
      </c>
      <c r="H99" s="7" t="s">
        <v>242</v>
      </c>
    </row>
    <row r="100" customFormat="false" ht="15" hidden="false" customHeight="false" outlineLevel="0" collapsed="false">
      <c r="A100" s="7" t="s">
        <v>217</v>
      </c>
      <c r="B100" s="7" t="n">
        <v>2573215</v>
      </c>
      <c r="C100" s="7" t="n">
        <v>0.9535</v>
      </c>
      <c r="D100" s="7" t="s">
        <v>238</v>
      </c>
      <c r="E100" s="7" t="s">
        <v>238</v>
      </c>
      <c r="F100" s="7" t="n">
        <v>0.805</v>
      </c>
      <c r="G100" s="7" t="s">
        <v>233</v>
      </c>
      <c r="H100" s="7" t="s">
        <v>243</v>
      </c>
    </row>
    <row r="101" customFormat="false" ht="15" hidden="false" customHeight="false" outlineLevel="0" collapsed="false">
      <c r="A101" s="7" t="s">
        <v>218</v>
      </c>
      <c r="B101" s="7" t="n">
        <v>2572687</v>
      </c>
      <c r="C101" s="7" t="n">
        <v>0.9628</v>
      </c>
      <c r="D101" s="7" t="s">
        <v>238</v>
      </c>
      <c r="E101" s="7" t="s">
        <v>238</v>
      </c>
      <c r="F101" s="7" t="n">
        <v>0.812</v>
      </c>
      <c r="G101" s="7" t="s">
        <v>235</v>
      </c>
      <c r="H101" s="7" t="s">
        <v>242</v>
      </c>
    </row>
    <row r="102" customFormat="false" ht="15" hidden="false" customHeight="false" outlineLevel="0" collapsed="false">
      <c r="A102" s="7" t="s">
        <v>219</v>
      </c>
      <c r="B102" s="7" t="n">
        <v>2563127</v>
      </c>
      <c r="C102" s="7" t="n">
        <v>0.9722</v>
      </c>
      <c r="D102" s="7" t="s">
        <v>238</v>
      </c>
      <c r="E102" s="7" t="s">
        <v>238</v>
      </c>
      <c r="F102" s="7" t="n">
        <v>0.806</v>
      </c>
      <c r="G102" s="7" t="s">
        <v>233</v>
      </c>
      <c r="H102" s="7" t="s">
        <v>243</v>
      </c>
    </row>
    <row r="103" customFormat="false" ht="15" hidden="false" customHeight="false" outlineLevel="0" collapsed="false">
      <c r="A103" s="7" t="s">
        <v>220</v>
      </c>
      <c r="B103" s="7" t="n">
        <v>2561893</v>
      </c>
      <c r="C103" s="7" t="n">
        <v>0.9815</v>
      </c>
      <c r="D103" s="7" t="s">
        <v>238</v>
      </c>
      <c r="E103" s="7" t="s">
        <v>238</v>
      </c>
      <c r="F103" s="7" t="n">
        <v>0.813</v>
      </c>
      <c r="G103" s="7" t="s">
        <v>235</v>
      </c>
      <c r="H103" s="7" t="s">
        <v>242</v>
      </c>
    </row>
    <row r="104" customFormat="false" ht="15" hidden="false" customHeight="false" outlineLevel="0" collapsed="false">
      <c r="A104" s="7" t="s">
        <v>221</v>
      </c>
      <c r="B104" s="7" t="n">
        <v>2545249</v>
      </c>
      <c r="C104" s="7" t="n">
        <v>0.9908</v>
      </c>
      <c r="D104" s="7" t="s">
        <v>238</v>
      </c>
      <c r="E104" s="7" t="s">
        <v>238</v>
      </c>
      <c r="F104" s="7" t="n">
        <v>0.816</v>
      </c>
      <c r="G104" s="7" t="s">
        <v>235</v>
      </c>
      <c r="H104" s="7" t="s">
        <v>242</v>
      </c>
    </row>
    <row r="105" customFormat="false" ht="15" hidden="false" customHeight="false" outlineLevel="0" collapsed="false">
      <c r="A105" s="7" t="s">
        <v>222</v>
      </c>
      <c r="B105" s="7" t="n">
        <v>2532392</v>
      </c>
      <c r="C105" s="7" t="n">
        <v>1</v>
      </c>
      <c r="D105" s="7" t="s">
        <v>238</v>
      </c>
      <c r="E105" s="7" t="s">
        <v>238</v>
      </c>
      <c r="F105" s="7" t="n">
        <v>0.796</v>
      </c>
      <c r="G105" s="7" t="s">
        <v>233</v>
      </c>
      <c r="H105" s="7" t="s">
        <v>243</v>
      </c>
    </row>
    <row r="108" customFormat="false" ht="25.5" hidden="false" customHeight="true" outlineLevel="0" collapsed="false">
      <c r="B108" s="11" t="s">
        <v>244</v>
      </c>
      <c r="C108" s="11"/>
      <c r="D108" s="11"/>
      <c r="E108" s="11"/>
      <c r="F108" s="11"/>
      <c r="G108" s="11"/>
      <c r="H108" s="11"/>
    </row>
    <row r="109" customFormat="false" ht="25.5" hidden="false" customHeight="true" outlineLevel="0" collapsed="false">
      <c r="B109" s="12" t="s">
        <v>245</v>
      </c>
      <c r="C109" s="12"/>
      <c r="D109" s="12"/>
      <c r="E109" s="12"/>
      <c r="F109" s="12"/>
      <c r="G109" s="12"/>
      <c r="H109" s="12"/>
    </row>
    <row r="110" customFormat="false" ht="25.5" hidden="false" customHeight="true" outlineLevel="0" collapsed="false">
      <c r="B110" s="12" t="s">
        <v>246</v>
      </c>
      <c r="C110" s="12"/>
      <c r="D110" s="12"/>
      <c r="E110" s="12"/>
      <c r="F110" s="12"/>
      <c r="G110" s="12"/>
      <c r="H110" s="12"/>
    </row>
    <row r="111" customFormat="false" ht="25.5" hidden="false" customHeight="true" outlineLevel="0" collapsed="false">
      <c r="B111" s="12" t="s">
        <v>247</v>
      </c>
      <c r="C111" s="12"/>
      <c r="D111" s="12"/>
      <c r="E111" s="12"/>
      <c r="F111" s="12"/>
      <c r="G111" s="12"/>
      <c r="H111" s="12"/>
    </row>
    <row r="112" customFormat="false" ht="25.5" hidden="false" customHeight="true" outlineLevel="0" collapsed="false">
      <c r="B112" s="12" t="s">
        <v>248</v>
      </c>
      <c r="C112" s="12"/>
      <c r="D112" s="12"/>
      <c r="E112" s="12"/>
      <c r="F112" s="12"/>
      <c r="G112" s="12"/>
      <c r="H112" s="12"/>
    </row>
    <row r="113" customFormat="false" ht="25.5" hidden="false" customHeight="true" outlineLevel="0" collapsed="false">
      <c r="B113" s="12" t="s">
        <v>249</v>
      </c>
      <c r="C113" s="12"/>
      <c r="D113" s="12"/>
      <c r="E113" s="12"/>
      <c r="F113" s="12"/>
      <c r="G113" s="12"/>
      <c r="H113" s="12"/>
    </row>
    <row r="114" customFormat="false" ht="25.5" hidden="false" customHeight="true" outlineLevel="0" collapsed="false">
      <c r="B114" s="12" t="s">
        <v>250</v>
      </c>
      <c r="C114" s="12"/>
      <c r="D114" s="12"/>
      <c r="E114" s="12"/>
      <c r="F114" s="12"/>
      <c r="G114" s="12"/>
      <c r="H114" s="12"/>
    </row>
    <row r="115" customFormat="false" ht="25.5" hidden="false" customHeight="true" outlineLevel="0" collapsed="false">
      <c r="B115" s="12" t="s">
        <v>251</v>
      </c>
      <c r="C115" s="12"/>
      <c r="D115" s="12"/>
      <c r="E115" s="12"/>
      <c r="F115" s="12"/>
      <c r="G115" s="12"/>
      <c r="H115" s="12"/>
    </row>
  </sheetData>
  <mergeCells count="8">
    <mergeCell ref="B108:H108"/>
    <mergeCell ref="B109:H109"/>
    <mergeCell ref="B110:H110"/>
    <mergeCell ref="B111:H111"/>
    <mergeCell ref="B112:H112"/>
    <mergeCell ref="B113:H113"/>
    <mergeCell ref="B114:H114"/>
    <mergeCell ref="B115:H1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17"/>
    <col collapsed="false" customWidth="true" hidden="false" outlineLevel="0" max="5" min="5" style="0" width="22"/>
  </cols>
  <sheetData>
    <row r="2" customFormat="false" ht="17.35" hidden="false" customHeight="false" outlineLevel="0" collapsed="false">
      <c r="B2" s="1" t="s">
        <v>252</v>
      </c>
    </row>
    <row r="3" customFormat="false" ht="15" hidden="false" customHeight="false" outlineLevel="0" collapsed="false">
      <c r="B3" s="2" t="s">
        <v>253</v>
      </c>
    </row>
    <row r="5" customFormat="false" ht="23.85" hidden="false" customHeight="false" outlineLevel="0" collapsed="false">
      <c r="A5" s="6" t="s">
        <v>81</v>
      </c>
      <c r="B5" s="6" t="s">
        <v>254</v>
      </c>
      <c r="C5" s="6" t="s">
        <v>255</v>
      </c>
      <c r="D5" s="6" t="s">
        <v>256</v>
      </c>
      <c r="E5" s="6" t="s">
        <v>257</v>
      </c>
    </row>
    <row r="6" customFormat="false" ht="15" hidden="false" customHeight="false" outlineLevel="0" collapsed="false">
      <c r="A6" s="7" t="s">
        <v>93</v>
      </c>
      <c r="B6" s="7" t="n">
        <v>16.1</v>
      </c>
      <c r="C6" s="7" t="n">
        <v>11</v>
      </c>
      <c r="D6" s="7" t="n">
        <v>9.5</v>
      </c>
      <c r="E6" s="7" t="s">
        <v>258</v>
      </c>
    </row>
    <row r="7" customFormat="false" ht="15" hidden="false" customHeight="false" outlineLevel="0" collapsed="false">
      <c r="A7" s="7" t="s">
        <v>97</v>
      </c>
      <c r="B7" s="7" t="n">
        <v>10.3</v>
      </c>
      <c r="C7" s="7" t="n">
        <v>17.3</v>
      </c>
      <c r="D7" s="7" t="n">
        <v>11.7</v>
      </c>
      <c r="E7" s="7" t="s">
        <v>259</v>
      </c>
    </row>
    <row r="8" customFormat="false" ht="15" hidden="false" customHeight="false" outlineLevel="0" collapsed="false">
      <c r="A8" s="7" t="s">
        <v>101</v>
      </c>
      <c r="B8" s="7" t="n">
        <v>11.4</v>
      </c>
      <c r="C8" s="7" t="n">
        <v>5</v>
      </c>
      <c r="D8" s="7" t="n">
        <v>5.5</v>
      </c>
      <c r="E8" s="7" t="s">
        <v>260</v>
      </c>
    </row>
    <row r="9" customFormat="false" ht="15" hidden="false" customHeight="false" outlineLevel="0" collapsed="false">
      <c r="A9" s="7" t="s">
        <v>105</v>
      </c>
      <c r="B9" s="7" t="n">
        <v>3.4</v>
      </c>
      <c r="C9" s="7" t="n">
        <v>3.5</v>
      </c>
      <c r="D9" s="7" t="n">
        <v>4.4</v>
      </c>
      <c r="E9" s="7" t="s">
        <v>259</v>
      </c>
    </row>
    <row r="10" customFormat="false" ht="15" hidden="false" customHeight="false" outlineLevel="0" collapsed="false">
      <c r="A10" s="7" t="s">
        <v>108</v>
      </c>
      <c r="B10" s="7" t="n">
        <v>11.2</v>
      </c>
      <c r="C10" s="7" t="n">
        <v>4.1</v>
      </c>
      <c r="D10" s="7" t="n">
        <v>5.3</v>
      </c>
      <c r="E10" s="7" t="s">
        <v>260</v>
      </c>
    </row>
    <row r="11" customFormat="false" ht="15" hidden="false" customHeight="false" outlineLevel="0" collapsed="false">
      <c r="A11" s="7" t="s">
        <v>110</v>
      </c>
      <c r="B11" s="7" t="n">
        <v>5</v>
      </c>
      <c r="C11" s="7" t="n">
        <v>7.1</v>
      </c>
      <c r="D11" s="7" t="n">
        <v>11.3</v>
      </c>
      <c r="E11" s="7" t="s">
        <v>259</v>
      </c>
    </row>
    <row r="12" customFormat="false" ht="15" hidden="false" customHeight="false" outlineLevel="0" collapsed="false">
      <c r="A12" s="7" t="s">
        <v>112</v>
      </c>
      <c r="B12" s="7" t="n">
        <v>16.9</v>
      </c>
      <c r="C12" s="7" t="n">
        <v>5.4</v>
      </c>
      <c r="D12" s="7" t="n">
        <v>7</v>
      </c>
      <c r="E12" s="7" t="s">
        <v>260</v>
      </c>
    </row>
    <row r="13" customFormat="false" ht="15" hidden="false" customHeight="false" outlineLevel="0" collapsed="false">
      <c r="A13" s="7" t="s">
        <v>116</v>
      </c>
      <c r="B13" s="7" t="n">
        <v>21.3</v>
      </c>
      <c r="C13" s="7" t="n">
        <v>15.1</v>
      </c>
      <c r="D13" s="7" t="n">
        <v>16.3</v>
      </c>
      <c r="E13" s="7" t="s">
        <v>260</v>
      </c>
    </row>
    <row r="14" customFormat="false" ht="15" hidden="false" customHeight="false" outlineLevel="0" collapsed="false">
      <c r="A14" s="7" t="s">
        <v>117</v>
      </c>
      <c r="B14" s="7" t="n">
        <v>26</v>
      </c>
      <c r="C14" s="7" t="n">
        <v>22.1</v>
      </c>
      <c r="D14" s="7" t="n">
        <v>23.1</v>
      </c>
      <c r="E14" s="7" t="s">
        <v>260</v>
      </c>
    </row>
    <row r="15" customFormat="false" ht="15" hidden="false" customHeight="false" outlineLevel="0" collapsed="false">
      <c r="A15" s="7" t="s">
        <v>119</v>
      </c>
      <c r="B15" s="7" t="n">
        <v>14.6</v>
      </c>
      <c r="C15" s="7" t="n">
        <v>8.4</v>
      </c>
      <c r="D15" s="7" t="n">
        <v>8.7</v>
      </c>
      <c r="E15" s="7" t="s">
        <v>260</v>
      </c>
    </row>
    <row r="16" customFormat="false" ht="15" hidden="false" customHeight="false" outlineLevel="0" collapsed="false">
      <c r="A16" s="7" t="s">
        <v>121</v>
      </c>
      <c r="B16" s="7" t="n">
        <v>17.4</v>
      </c>
      <c r="C16" s="7" t="n">
        <v>10.9</v>
      </c>
      <c r="D16" s="7" t="n">
        <v>9.3</v>
      </c>
      <c r="E16" s="7" t="s">
        <v>258</v>
      </c>
    </row>
    <row r="17" customFormat="false" ht="15" hidden="false" customHeight="false" outlineLevel="0" collapsed="false">
      <c r="A17" s="7" t="s">
        <v>123</v>
      </c>
      <c r="B17" s="7" t="n">
        <v>20.2</v>
      </c>
      <c r="C17" s="7" t="n">
        <v>24.6</v>
      </c>
      <c r="D17" s="7" t="n">
        <v>27.1</v>
      </c>
      <c r="E17" s="7" t="s">
        <v>259</v>
      </c>
    </row>
    <row r="18" customFormat="false" ht="15" hidden="false" customHeight="false" outlineLevel="0" collapsed="false">
      <c r="A18" s="7" t="s">
        <v>124</v>
      </c>
      <c r="B18" s="7" t="n">
        <v>13.4</v>
      </c>
      <c r="C18" s="7" t="n">
        <v>12.5</v>
      </c>
      <c r="D18" s="7" t="n">
        <v>11.2</v>
      </c>
      <c r="E18" s="7" t="s">
        <v>258</v>
      </c>
    </row>
    <row r="19" customFormat="false" ht="15" hidden="false" customHeight="false" outlineLevel="0" collapsed="false">
      <c r="A19" s="7" t="s">
        <v>126</v>
      </c>
      <c r="B19" s="7" t="n">
        <v>10.7</v>
      </c>
      <c r="C19" s="7" t="n">
        <v>9.6</v>
      </c>
      <c r="D19" s="7" t="n">
        <v>9.6</v>
      </c>
      <c r="E19" s="7" t="s">
        <v>258</v>
      </c>
    </row>
    <row r="20" customFormat="false" ht="15" hidden="false" customHeight="false" outlineLevel="0" collapsed="false">
      <c r="A20" s="7" t="s">
        <v>128</v>
      </c>
      <c r="B20" s="7" t="n">
        <v>21.4</v>
      </c>
      <c r="C20" s="7" t="n">
        <v>10.7</v>
      </c>
      <c r="D20" s="7" t="n">
        <v>10.6</v>
      </c>
      <c r="E20" s="7" t="s">
        <v>258</v>
      </c>
    </row>
    <row r="21" customFormat="false" ht="15" hidden="false" customHeight="false" outlineLevel="0" collapsed="false">
      <c r="A21" s="7" t="s">
        <v>131</v>
      </c>
      <c r="B21" s="7" t="n">
        <v>5.1</v>
      </c>
      <c r="C21" s="7" t="n">
        <v>3.9</v>
      </c>
      <c r="D21" s="7" t="n">
        <v>5.3</v>
      </c>
      <c r="E21" s="7" t="s">
        <v>260</v>
      </c>
    </row>
    <row r="22" customFormat="false" ht="15" hidden="false" customHeight="false" outlineLevel="0" collapsed="false">
      <c r="A22" s="7" t="s">
        <v>132</v>
      </c>
      <c r="B22" s="7" t="n">
        <v>15.4</v>
      </c>
      <c r="C22" s="7" t="n">
        <v>14.1</v>
      </c>
      <c r="D22" s="7" t="n">
        <v>16</v>
      </c>
      <c r="E22" s="7" t="s">
        <v>260</v>
      </c>
    </row>
    <row r="23" customFormat="false" ht="15" hidden="false" customHeight="false" outlineLevel="0" collapsed="false">
      <c r="A23" s="7" t="s">
        <v>134</v>
      </c>
      <c r="B23" s="7" t="n">
        <v>13.4</v>
      </c>
      <c r="C23" s="7" t="n">
        <v>3.5</v>
      </c>
      <c r="D23" s="7" t="n">
        <v>2.2</v>
      </c>
      <c r="E23" s="7" t="s">
        <v>258</v>
      </c>
    </row>
    <row r="24" customFormat="false" ht="15" hidden="false" customHeight="false" outlineLevel="0" collapsed="false">
      <c r="A24" s="7" t="s">
        <v>136</v>
      </c>
      <c r="B24" s="7" t="n">
        <v>16.4</v>
      </c>
      <c r="C24" s="7" t="n">
        <v>17.1</v>
      </c>
      <c r="D24" s="7" t="n">
        <v>17.4</v>
      </c>
      <c r="E24" s="7" t="s">
        <v>259</v>
      </c>
    </row>
    <row r="25" customFormat="false" ht="15" hidden="false" customHeight="false" outlineLevel="0" collapsed="false">
      <c r="A25" s="7" t="s">
        <v>137</v>
      </c>
      <c r="B25" s="7" t="n">
        <v>18.8</v>
      </c>
      <c r="C25" s="7" t="n">
        <v>10.8</v>
      </c>
      <c r="D25" s="7" t="n">
        <v>10.1</v>
      </c>
      <c r="E25" s="7" t="s">
        <v>258</v>
      </c>
    </row>
    <row r="26" customFormat="false" ht="15" hidden="false" customHeight="false" outlineLevel="0" collapsed="false">
      <c r="A26" s="7" t="s">
        <v>138</v>
      </c>
      <c r="B26" s="7" t="n">
        <v>14.5</v>
      </c>
      <c r="C26" s="7" t="n">
        <v>8.5</v>
      </c>
      <c r="D26" s="7" t="n">
        <v>8.4</v>
      </c>
      <c r="E26" s="7" t="s">
        <v>258</v>
      </c>
    </row>
    <row r="27" customFormat="false" ht="15" hidden="false" customHeight="false" outlineLevel="0" collapsed="false">
      <c r="A27" s="7" t="s">
        <v>139</v>
      </c>
      <c r="B27" s="7" t="n">
        <v>16.7</v>
      </c>
      <c r="C27" s="7" t="n">
        <v>9.4</v>
      </c>
      <c r="D27" s="7" t="n">
        <v>9.2</v>
      </c>
      <c r="E27" s="7" t="s">
        <v>258</v>
      </c>
    </row>
    <row r="28" customFormat="false" ht="15" hidden="false" customHeight="false" outlineLevel="0" collapsed="false">
      <c r="A28" s="7" t="s">
        <v>141</v>
      </c>
      <c r="B28" s="7" t="n">
        <v>33.9</v>
      </c>
      <c r="C28" s="7" t="n">
        <v>20.1</v>
      </c>
      <c r="D28" s="7" t="n">
        <v>16.9</v>
      </c>
      <c r="E28" s="7" t="s">
        <v>258</v>
      </c>
    </row>
    <row r="29" customFormat="false" ht="15" hidden="false" customHeight="false" outlineLevel="0" collapsed="false">
      <c r="A29" s="7" t="s">
        <v>142</v>
      </c>
      <c r="B29" s="7" t="n">
        <v>12.4</v>
      </c>
      <c r="C29" s="7" t="n">
        <v>16.8</v>
      </c>
      <c r="D29" s="7" t="n">
        <v>14.3</v>
      </c>
      <c r="E29" s="7" t="s">
        <v>259</v>
      </c>
    </row>
    <row r="30" customFormat="false" ht="15" hidden="false" customHeight="false" outlineLevel="0" collapsed="false">
      <c r="A30" s="7" t="s">
        <v>143</v>
      </c>
      <c r="B30" s="7" t="n">
        <v>17.7</v>
      </c>
      <c r="C30" s="7" t="n">
        <v>13.3</v>
      </c>
      <c r="D30" s="7" t="n">
        <v>6.8</v>
      </c>
      <c r="E30" s="7" t="s">
        <v>258</v>
      </c>
    </row>
    <row r="31" customFormat="false" ht="15" hidden="false" customHeight="false" outlineLevel="0" collapsed="false">
      <c r="A31" s="7" t="s">
        <v>144</v>
      </c>
      <c r="B31" s="7" t="n">
        <v>19.9</v>
      </c>
      <c r="C31" s="7" t="n">
        <v>22.6</v>
      </c>
      <c r="D31" s="7" t="n">
        <v>19</v>
      </c>
      <c r="E31" s="7" t="s">
        <v>258</v>
      </c>
    </row>
    <row r="32" customFormat="false" ht="15" hidden="false" customHeight="false" outlineLevel="0" collapsed="false">
      <c r="A32" s="7" t="s">
        <v>146</v>
      </c>
      <c r="B32" s="7" t="n">
        <v>20.1</v>
      </c>
      <c r="C32" s="7" t="n">
        <v>20.8</v>
      </c>
      <c r="D32" s="7" t="n">
        <v>21.8</v>
      </c>
      <c r="E32" s="7" t="s">
        <v>259</v>
      </c>
    </row>
    <row r="33" customFormat="false" ht="15" hidden="false" customHeight="false" outlineLevel="0" collapsed="false">
      <c r="A33" s="7" t="s">
        <v>147</v>
      </c>
      <c r="B33" s="7" t="n">
        <v>7.7</v>
      </c>
      <c r="C33" s="7" t="n">
        <v>7.9</v>
      </c>
      <c r="D33" s="7" t="n">
        <v>8.5</v>
      </c>
      <c r="E33" s="7" t="s">
        <v>259</v>
      </c>
    </row>
    <row r="34" customFormat="false" ht="15" hidden="false" customHeight="false" outlineLevel="0" collapsed="false">
      <c r="A34" s="7" t="s">
        <v>148</v>
      </c>
      <c r="B34" s="7" t="n">
        <v>18.3</v>
      </c>
      <c r="C34" s="7" t="n">
        <v>10.7</v>
      </c>
      <c r="D34" s="7" t="n">
        <v>4.1</v>
      </c>
      <c r="E34" s="7" t="s">
        <v>258</v>
      </c>
    </row>
    <row r="35" customFormat="false" ht="15" hidden="false" customHeight="false" outlineLevel="0" collapsed="false">
      <c r="A35" s="7" t="s">
        <v>149</v>
      </c>
      <c r="B35" s="7" t="n">
        <v>10.9</v>
      </c>
      <c r="C35" s="7" t="n">
        <v>10.6</v>
      </c>
      <c r="D35" s="7" t="n">
        <v>13.5</v>
      </c>
      <c r="E35" s="7" t="s">
        <v>260</v>
      </c>
    </row>
    <row r="36" customFormat="false" ht="15" hidden="false" customHeight="false" outlineLevel="0" collapsed="false">
      <c r="A36" s="7" t="s">
        <v>150</v>
      </c>
      <c r="B36" s="7" t="n">
        <v>11.7</v>
      </c>
      <c r="C36" s="7" t="n">
        <v>9.8</v>
      </c>
      <c r="D36" s="7" t="n">
        <v>11.4</v>
      </c>
      <c r="E36" s="7" t="s">
        <v>260</v>
      </c>
    </row>
    <row r="37" customFormat="false" ht="15" hidden="false" customHeight="false" outlineLevel="0" collapsed="false">
      <c r="A37" s="7" t="s">
        <v>152</v>
      </c>
      <c r="B37" s="7" t="n">
        <v>17.6</v>
      </c>
      <c r="C37" s="7" t="n">
        <v>4.6</v>
      </c>
      <c r="D37" s="7" t="n">
        <v>4</v>
      </c>
      <c r="E37" s="7" t="s">
        <v>258</v>
      </c>
    </row>
    <row r="38" customFormat="false" ht="15" hidden="false" customHeight="false" outlineLevel="0" collapsed="false">
      <c r="A38" s="7" t="s">
        <v>154</v>
      </c>
      <c r="B38" s="7" t="n">
        <v>12.2</v>
      </c>
      <c r="C38" s="7" t="n">
        <v>8</v>
      </c>
      <c r="D38" s="7" t="n">
        <v>7.6</v>
      </c>
      <c r="E38" s="7" t="s">
        <v>258</v>
      </c>
    </row>
    <row r="39" customFormat="false" ht="15" hidden="false" customHeight="false" outlineLevel="0" collapsed="false">
      <c r="A39" s="7" t="s">
        <v>155</v>
      </c>
      <c r="B39" s="7" t="n">
        <v>11.9</v>
      </c>
      <c r="C39" s="7" t="n">
        <v>12.5</v>
      </c>
      <c r="D39" s="7" t="n">
        <v>12.3</v>
      </c>
      <c r="E39" s="7" t="s">
        <v>259</v>
      </c>
    </row>
    <row r="40" customFormat="false" ht="15" hidden="false" customHeight="false" outlineLevel="0" collapsed="false">
      <c r="A40" s="7" t="s">
        <v>156</v>
      </c>
      <c r="B40" s="7" t="n">
        <v>17.2</v>
      </c>
      <c r="C40" s="7" t="n">
        <v>2.3</v>
      </c>
      <c r="D40" s="7" t="n">
        <v>9.3</v>
      </c>
      <c r="E40" s="7" t="s">
        <v>260</v>
      </c>
    </row>
    <row r="41" customFormat="false" ht="15" hidden="false" customHeight="false" outlineLevel="0" collapsed="false">
      <c r="A41" s="7" t="s">
        <v>157</v>
      </c>
      <c r="B41" s="7" t="n">
        <v>8.7</v>
      </c>
      <c r="C41" s="7" t="n">
        <v>9.1</v>
      </c>
      <c r="D41" s="7" t="n">
        <v>18</v>
      </c>
      <c r="E41" s="7" t="s">
        <v>259</v>
      </c>
    </row>
    <row r="42" customFormat="false" ht="15" hidden="false" customHeight="false" outlineLevel="0" collapsed="false">
      <c r="A42" s="7" t="s">
        <v>158</v>
      </c>
      <c r="B42" s="7" t="n">
        <v>34.1</v>
      </c>
      <c r="C42" s="7" t="n">
        <v>8.2</v>
      </c>
      <c r="D42" s="7" t="n">
        <v>8.1</v>
      </c>
      <c r="E42" s="7" t="s">
        <v>258</v>
      </c>
    </row>
    <row r="43" customFormat="false" ht="15" hidden="false" customHeight="false" outlineLevel="0" collapsed="false">
      <c r="A43" s="7" t="s">
        <v>159</v>
      </c>
      <c r="B43" s="7" t="n">
        <v>24.2</v>
      </c>
      <c r="C43" s="7" t="n">
        <v>7.7</v>
      </c>
      <c r="D43" s="7" t="n">
        <v>8.3</v>
      </c>
      <c r="E43" s="7" t="s">
        <v>260</v>
      </c>
    </row>
    <row r="44" customFormat="false" ht="15" hidden="false" customHeight="false" outlineLevel="0" collapsed="false">
      <c r="A44" s="7" t="s">
        <v>160</v>
      </c>
      <c r="B44" s="7" t="n">
        <v>62.7</v>
      </c>
      <c r="C44" s="7" t="n">
        <v>26</v>
      </c>
      <c r="D44" s="7" t="n">
        <v>15.5</v>
      </c>
      <c r="E44" s="7" t="s">
        <v>258</v>
      </c>
    </row>
    <row r="45" customFormat="false" ht="15" hidden="false" customHeight="false" outlineLevel="0" collapsed="false">
      <c r="A45" s="7" t="s">
        <v>161</v>
      </c>
      <c r="B45" s="7" t="n">
        <v>32.9</v>
      </c>
      <c r="C45" s="7" t="n">
        <v>18.2</v>
      </c>
      <c r="D45" s="7" t="n">
        <v>17.1</v>
      </c>
      <c r="E45" s="7" t="s">
        <v>258</v>
      </c>
    </row>
    <row r="46" customFormat="false" ht="15" hidden="false" customHeight="false" outlineLevel="0" collapsed="false">
      <c r="A46" s="7" t="s">
        <v>163</v>
      </c>
      <c r="B46" s="7" t="n">
        <v>10.1</v>
      </c>
      <c r="C46" s="7" t="n">
        <v>4.3</v>
      </c>
      <c r="D46" s="7" t="n">
        <v>3.1</v>
      </c>
      <c r="E46" s="7" t="s">
        <v>258</v>
      </c>
    </row>
    <row r="47" customFormat="false" ht="15" hidden="false" customHeight="false" outlineLevel="0" collapsed="false">
      <c r="A47" s="7" t="s">
        <v>164</v>
      </c>
      <c r="B47" s="7" t="n">
        <v>10.8</v>
      </c>
      <c r="C47" s="7" t="n">
        <v>11.9</v>
      </c>
      <c r="D47" s="7" t="n">
        <v>11.1</v>
      </c>
      <c r="E47" s="7" t="s">
        <v>259</v>
      </c>
    </row>
    <row r="48" customFormat="false" ht="15" hidden="false" customHeight="false" outlineLevel="0" collapsed="false">
      <c r="A48" s="7" t="s">
        <v>165</v>
      </c>
      <c r="B48" s="7" t="n">
        <v>27.9</v>
      </c>
      <c r="C48" s="7" t="n">
        <v>9.5</v>
      </c>
      <c r="D48" s="7" t="n">
        <v>10.2</v>
      </c>
      <c r="E48" s="7" t="s">
        <v>260</v>
      </c>
    </row>
    <row r="49" customFormat="false" ht="15" hidden="false" customHeight="false" outlineLevel="0" collapsed="false">
      <c r="A49" s="7" t="s">
        <v>166</v>
      </c>
      <c r="B49" s="7" t="n">
        <v>5.4</v>
      </c>
      <c r="C49" s="7" t="n">
        <v>4.4</v>
      </c>
      <c r="D49" s="7" t="n">
        <v>6.1</v>
      </c>
      <c r="E49" s="7" t="s">
        <v>260</v>
      </c>
    </row>
    <row r="50" customFormat="false" ht="15" hidden="false" customHeight="false" outlineLevel="0" collapsed="false">
      <c r="A50" s="7" t="s">
        <v>167</v>
      </c>
      <c r="B50" s="7" t="n">
        <v>16</v>
      </c>
      <c r="C50" s="7" t="n">
        <v>13.4</v>
      </c>
      <c r="D50" s="7" t="n">
        <v>14.4</v>
      </c>
      <c r="E50" s="7" t="s">
        <v>260</v>
      </c>
    </row>
    <row r="51" customFormat="false" ht="15" hidden="false" customHeight="false" outlineLevel="0" collapsed="false">
      <c r="A51" s="7" t="s">
        <v>168</v>
      </c>
      <c r="B51" s="7" t="n">
        <v>14.2</v>
      </c>
      <c r="C51" s="7" t="n">
        <v>8.4</v>
      </c>
      <c r="D51" s="7" t="n">
        <v>4.3</v>
      </c>
      <c r="E51" s="7" t="s">
        <v>258</v>
      </c>
    </row>
    <row r="52" customFormat="false" ht="15" hidden="false" customHeight="false" outlineLevel="0" collapsed="false">
      <c r="A52" s="7" t="s">
        <v>169</v>
      </c>
      <c r="B52" s="7" t="n">
        <v>16.5</v>
      </c>
      <c r="C52" s="7" t="n">
        <v>22.7</v>
      </c>
      <c r="D52" s="7" t="n">
        <v>15.1</v>
      </c>
      <c r="E52" s="7" t="s">
        <v>258</v>
      </c>
    </row>
    <row r="53" customFormat="false" ht="15" hidden="false" customHeight="false" outlineLevel="0" collapsed="false">
      <c r="A53" s="7" t="s">
        <v>170</v>
      </c>
      <c r="B53" s="7" t="n">
        <v>22.3</v>
      </c>
      <c r="C53" s="7" t="n">
        <v>19.6</v>
      </c>
      <c r="D53" s="7" t="n">
        <v>20</v>
      </c>
      <c r="E53" s="7" t="s">
        <v>260</v>
      </c>
    </row>
    <row r="54" customFormat="false" ht="15" hidden="false" customHeight="false" outlineLevel="0" collapsed="false">
      <c r="A54" s="7" t="s">
        <v>171</v>
      </c>
      <c r="B54" s="7" t="n">
        <v>17.2</v>
      </c>
      <c r="C54" s="7" t="n">
        <v>13</v>
      </c>
      <c r="D54" s="7" t="n">
        <v>12.9</v>
      </c>
      <c r="E54" s="7" t="s">
        <v>258</v>
      </c>
    </row>
    <row r="55" customFormat="false" ht="15" hidden="false" customHeight="false" outlineLevel="0" collapsed="false">
      <c r="A55" s="7" t="s">
        <v>172</v>
      </c>
      <c r="B55" s="7" t="n">
        <v>10.2</v>
      </c>
      <c r="C55" s="7" t="n">
        <v>17.1</v>
      </c>
      <c r="D55" s="7" t="n">
        <v>14.9</v>
      </c>
      <c r="E55" s="7" t="s">
        <v>259</v>
      </c>
    </row>
    <row r="56" customFormat="false" ht="15" hidden="false" customHeight="false" outlineLevel="0" collapsed="false">
      <c r="A56" s="7" t="s">
        <v>173</v>
      </c>
      <c r="B56" s="7" t="n">
        <v>5.8</v>
      </c>
      <c r="C56" s="7" t="n">
        <v>4.4</v>
      </c>
      <c r="D56" s="7" t="n">
        <v>4.7</v>
      </c>
      <c r="E56" s="7" t="s">
        <v>260</v>
      </c>
    </row>
    <row r="57" customFormat="false" ht="15" hidden="false" customHeight="false" outlineLevel="0" collapsed="false">
      <c r="A57" s="7" t="s">
        <v>174</v>
      </c>
      <c r="B57" s="7" t="n">
        <v>23.9</v>
      </c>
      <c r="C57" s="7" t="n">
        <v>18.9</v>
      </c>
      <c r="D57" s="7" t="n">
        <v>16.3</v>
      </c>
      <c r="E57" s="7" t="s">
        <v>258</v>
      </c>
    </row>
    <row r="58" customFormat="false" ht="15" hidden="false" customHeight="false" outlineLevel="0" collapsed="false">
      <c r="A58" s="7" t="s">
        <v>175</v>
      </c>
      <c r="B58" s="7" t="n">
        <v>5.7</v>
      </c>
      <c r="C58" s="7" t="n">
        <v>4.2</v>
      </c>
      <c r="D58" s="7" t="n">
        <v>3.6</v>
      </c>
      <c r="E58" s="7" t="s">
        <v>258</v>
      </c>
    </row>
    <row r="59" customFormat="false" ht="15" hidden="false" customHeight="false" outlineLevel="0" collapsed="false">
      <c r="A59" s="7" t="s">
        <v>176</v>
      </c>
      <c r="B59" s="7" t="n">
        <v>15.2</v>
      </c>
      <c r="C59" s="7" t="n">
        <v>13.3</v>
      </c>
      <c r="D59" s="7" t="n">
        <v>13.5</v>
      </c>
      <c r="E59" s="7" t="s">
        <v>260</v>
      </c>
    </row>
    <row r="60" customFormat="false" ht="15" hidden="false" customHeight="false" outlineLevel="0" collapsed="false">
      <c r="A60" s="7" t="s">
        <v>177</v>
      </c>
      <c r="B60" s="7" t="n">
        <v>20.1</v>
      </c>
      <c r="C60" s="7" t="n">
        <v>14.2</v>
      </c>
      <c r="D60" s="7" t="n">
        <v>5</v>
      </c>
      <c r="E60" s="7" t="s">
        <v>258</v>
      </c>
    </row>
    <row r="61" customFormat="false" ht="15" hidden="false" customHeight="false" outlineLevel="0" collapsed="false">
      <c r="A61" s="7" t="s">
        <v>178</v>
      </c>
      <c r="B61" s="7" t="n">
        <v>19.7</v>
      </c>
      <c r="C61" s="7" t="n">
        <v>13.7</v>
      </c>
      <c r="D61" s="7" t="n">
        <v>15.2</v>
      </c>
      <c r="E61" s="7" t="s">
        <v>260</v>
      </c>
    </row>
    <row r="62" customFormat="false" ht="15" hidden="false" customHeight="false" outlineLevel="0" collapsed="false">
      <c r="A62" s="7" t="s">
        <v>179</v>
      </c>
      <c r="B62" s="7" t="n">
        <v>16</v>
      </c>
      <c r="C62" s="7" t="n">
        <v>14.5</v>
      </c>
      <c r="D62" s="7" t="n">
        <v>16.3</v>
      </c>
      <c r="E62" s="7" t="s">
        <v>260</v>
      </c>
    </row>
    <row r="63" customFormat="false" ht="15" hidden="false" customHeight="false" outlineLevel="0" collapsed="false">
      <c r="A63" s="7" t="s">
        <v>180</v>
      </c>
      <c r="B63" s="7" t="n">
        <v>20.7</v>
      </c>
      <c r="C63" s="7" t="n">
        <v>19</v>
      </c>
      <c r="D63" s="7" t="n">
        <v>18.6</v>
      </c>
      <c r="E63" s="7" t="s">
        <v>258</v>
      </c>
    </row>
    <row r="64" customFormat="false" ht="15" hidden="false" customHeight="false" outlineLevel="0" collapsed="false">
      <c r="A64" s="7" t="s">
        <v>181</v>
      </c>
      <c r="B64" s="7" t="n">
        <v>26.8</v>
      </c>
      <c r="C64" s="7" t="n">
        <v>5.4</v>
      </c>
      <c r="D64" s="7" t="n">
        <v>6.2</v>
      </c>
      <c r="E64" s="7" t="s">
        <v>260</v>
      </c>
    </row>
    <row r="65" customFormat="false" ht="15" hidden="false" customHeight="false" outlineLevel="0" collapsed="false">
      <c r="A65" s="7" t="s">
        <v>182</v>
      </c>
      <c r="B65" s="7" t="n">
        <v>5.1</v>
      </c>
      <c r="C65" s="7" t="n">
        <v>20.9</v>
      </c>
      <c r="D65" s="7" t="n">
        <v>11</v>
      </c>
      <c r="E65" s="7" t="s">
        <v>259</v>
      </c>
    </row>
    <row r="66" customFormat="false" ht="15" hidden="false" customHeight="false" outlineLevel="0" collapsed="false">
      <c r="A66" s="7" t="s">
        <v>183</v>
      </c>
      <c r="B66" s="7" t="n">
        <v>15.2</v>
      </c>
      <c r="C66" s="7" t="n">
        <v>13.4</v>
      </c>
      <c r="D66" s="7" t="n">
        <v>13.1</v>
      </c>
      <c r="E66" s="7" t="s">
        <v>258</v>
      </c>
    </row>
    <row r="67" customFormat="false" ht="15" hidden="false" customHeight="false" outlineLevel="0" collapsed="false">
      <c r="A67" s="7" t="s">
        <v>184</v>
      </c>
      <c r="B67" s="7" t="n">
        <v>31.3</v>
      </c>
      <c r="C67" s="7" t="n">
        <v>14.8</v>
      </c>
      <c r="D67" s="7" t="n">
        <v>8.8</v>
      </c>
      <c r="E67" s="7" t="s">
        <v>258</v>
      </c>
    </row>
    <row r="68" customFormat="false" ht="15" hidden="false" customHeight="false" outlineLevel="0" collapsed="false">
      <c r="A68" s="7" t="s">
        <v>185</v>
      </c>
      <c r="B68" s="7" t="n">
        <v>27.8</v>
      </c>
      <c r="C68" s="7" t="n">
        <v>17.9</v>
      </c>
      <c r="D68" s="7" t="n">
        <v>18</v>
      </c>
      <c r="E68" s="7" t="s">
        <v>260</v>
      </c>
    </row>
    <row r="69" customFormat="false" ht="15" hidden="false" customHeight="false" outlineLevel="0" collapsed="false">
      <c r="A69" s="7" t="s">
        <v>186</v>
      </c>
      <c r="B69" s="7" t="n">
        <v>18.9</v>
      </c>
      <c r="C69" s="7" t="n">
        <v>17.9</v>
      </c>
      <c r="D69" s="7" t="n">
        <v>17.2</v>
      </c>
      <c r="E69" s="7" t="s">
        <v>258</v>
      </c>
    </row>
    <row r="70" customFormat="false" ht="15" hidden="false" customHeight="false" outlineLevel="0" collapsed="false">
      <c r="A70" s="7" t="s">
        <v>187</v>
      </c>
      <c r="B70" s="7" t="n">
        <v>15.2</v>
      </c>
      <c r="C70" s="7" t="n">
        <v>10.7</v>
      </c>
      <c r="D70" s="7" t="n">
        <v>8.3</v>
      </c>
      <c r="E70" s="7" t="s">
        <v>258</v>
      </c>
    </row>
    <row r="71" customFormat="false" ht="15" hidden="false" customHeight="false" outlineLevel="0" collapsed="false">
      <c r="A71" s="7" t="s">
        <v>188</v>
      </c>
      <c r="B71" s="7" t="n">
        <v>7.8</v>
      </c>
      <c r="C71" s="7" t="n">
        <v>7</v>
      </c>
      <c r="D71" s="7" t="n">
        <v>9.1</v>
      </c>
      <c r="E71" s="7" t="s">
        <v>260</v>
      </c>
    </row>
    <row r="72" customFormat="false" ht="15" hidden="false" customHeight="false" outlineLevel="0" collapsed="false">
      <c r="A72" s="7" t="s">
        <v>189</v>
      </c>
      <c r="B72" s="7" t="n">
        <v>11.5</v>
      </c>
      <c r="C72" s="7" t="n">
        <v>10.8</v>
      </c>
      <c r="D72" s="7" t="n">
        <v>11.3</v>
      </c>
      <c r="E72" s="7" t="s">
        <v>260</v>
      </c>
    </row>
    <row r="73" customFormat="false" ht="15" hidden="false" customHeight="false" outlineLevel="0" collapsed="false">
      <c r="A73" s="7" t="s">
        <v>190</v>
      </c>
      <c r="B73" s="7" t="n">
        <v>16.2</v>
      </c>
      <c r="C73" s="7" t="n">
        <v>9.6</v>
      </c>
      <c r="D73" s="7" t="n">
        <v>3.2</v>
      </c>
      <c r="E73" s="7" t="s">
        <v>258</v>
      </c>
    </row>
    <row r="74" customFormat="false" ht="15" hidden="false" customHeight="false" outlineLevel="0" collapsed="false">
      <c r="A74" s="7" t="s">
        <v>191</v>
      </c>
      <c r="B74" s="7" t="n">
        <v>16.4</v>
      </c>
      <c r="C74" s="7" t="n">
        <v>11.5</v>
      </c>
      <c r="D74" s="7" t="n">
        <v>8.2</v>
      </c>
      <c r="E74" s="7" t="s">
        <v>258</v>
      </c>
    </row>
    <row r="75" customFormat="false" ht="15" hidden="false" customHeight="false" outlineLevel="0" collapsed="false">
      <c r="A75" s="7" t="s">
        <v>192</v>
      </c>
      <c r="B75" s="7" t="n">
        <v>18</v>
      </c>
      <c r="C75" s="7" t="n">
        <v>17.7</v>
      </c>
      <c r="D75" s="7" t="n">
        <v>17.3</v>
      </c>
      <c r="E75" s="7" t="s">
        <v>258</v>
      </c>
    </row>
    <row r="76" customFormat="false" ht="15" hidden="false" customHeight="false" outlineLevel="0" collapsed="false">
      <c r="A76" s="7" t="s">
        <v>193</v>
      </c>
      <c r="B76" s="7" t="n">
        <v>12.3</v>
      </c>
      <c r="C76" s="7" t="n">
        <v>10.2</v>
      </c>
      <c r="D76" s="7" t="n">
        <v>10.5</v>
      </c>
      <c r="E76" s="7" t="s">
        <v>260</v>
      </c>
    </row>
    <row r="77" customFormat="false" ht="15" hidden="false" customHeight="false" outlineLevel="0" collapsed="false">
      <c r="A77" s="7" t="s">
        <v>194</v>
      </c>
      <c r="B77" s="7" t="n">
        <v>9.7</v>
      </c>
      <c r="C77" s="7" t="n">
        <v>5.4</v>
      </c>
      <c r="D77" s="7" t="n">
        <v>6.9</v>
      </c>
      <c r="E77" s="7" t="s">
        <v>260</v>
      </c>
    </row>
    <row r="78" customFormat="false" ht="15" hidden="false" customHeight="false" outlineLevel="0" collapsed="false">
      <c r="A78" s="7" t="s">
        <v>195</v>
      </c>
      <c r="B78" s="7" t="n">
        <v>12.1</v>
      </c>
      <c r="C78" s="7" t="n">
        <v>19.5</v>
      </c>
      <c r="D78" s="7" t="n">
        <v>20.3</v>
      </c>
      <c r="E78" s="7" t="s">
        <v>259</v>
      </c>
    </row>
    <row r="79" customFormat="false" ht="15" hidden="false" customHeight="false" outlineLevel="0" collapsed="false">
      <c r="A79" s="7" t="s">
        <v>196</v>
      </c>
      <c r="B79" s="7" t="n">
        <v>20.8</v>
      </c>
      <c r="C79" s="7" t="n">
        <v>8.8</v>
      </c>
      <c r="D79" s="7" t="n">
        <v>15.9</v>
      </c>
      <c r="E79" s="7" t="s">
        <v>260</v>
      </c>
    </row>
    <row r="80" customFormat="false" ht="15" hidden="false" customHeight="false" outlineLevel="0" collapsed="false">
      <c r="A80" s="7" t="s">
        <v>197</v>
      </c>
      <c r="B80" s="7" t="n">
        <v>14.9</v>
      </c>
      <c r="C80" s="7" t="n">
        <v>11.1</v>
      </c>
      <c r="D80" s="7" t="n">
        <v>10.5</v>
      </c>
      <c r="E80" s="7" t="s">
        <v>258</v>
      </c>
    </row>
    <row r="81" customFormat="false" ht="15" hidden="false" customHeight="false" outlineLevel="0" collapsed="false">
      <c r="A81" s="7" t="s">
        <v>198</v>
      </c>
      <c r="B81" s="7" t="n">
        <v>13</v>
      </c>
      <c r="C81" s="7" t="n">
        <v>24.9</v>
      </c>
      <c r="D81" s="7" t="n">
        <v>23.2</v>
      </c>
      <c r="E81" s="7" t="s">
        <v>259</v>
      </c>
    </row>
    <row r="82" customFormat="false" ht="15" hidden="false" customHeight="false" outlineLevel="0" collapsed="false">
      <c r="A82" s="7" t="s">
        <v>199</v>
      </c>
      <c r="B82" s="7" t="n">
        <v>22</v>
      </c>
      <c r="C82" s="7" t="n">
        <v>7.9</v>
      </c>
      <c r="D82" s="7" t="n">
        <v>8</v>
      </c>
      <c r="E82" s="7" t="s">
        <v>260</v>
      </c>
    </row>
    <row r="83" customFormat="false" ht="15" hidden="false" customHeight="false" outlineLevel="0" collapsed="false">
      <c r="A83" s="7" t="s">
        <v>200</v>
      </c>
      <c r="B83" s="7" t="n">
        <v>16.9</v>
      </c>
      <c r="C83" s="7" t="n">
        <v>15.5</v>
      </c>
      <c r="D83" s="7" t="n">
        <v>17.5</v>
      </c>
      <c r="E83" s="7" t="s">
        <v>260</v>
      </c>
    </row>
    <row r="84" customFormat="false" ht="15" hidden="false" customHeight="false" outlineLevel="0" collapsed="false">
      <c r="A84" s="7" t="s">
        <v>201</v>
      </c>
      <c r="B84" s="7" t="n">
        <v>4.4</v>
      </c>
      <c r="C84" s="7" t="n">
        <v>13.9</v>
      </c>
      <c r="D84" s="7" t="n">
        <v>6.3</v>
      </c>
      <c r="E84" s="7" t="s">
        <v>259</v>
      </c>
    </row>
    <row r="85" customFormat="false" ht="15" hidden="false" customHeight="false" outlineLevel="0" collapsed="false">
      <c r="A85" s="7" t="s">
        <v>202</v>
      </c>
      <c r="B85" s="7" t="n">
        <v>12.1</v>
      </c>
      <c r="C85" s="7" t="n">
        <v>4.7</v>
      </c>
      <c r="D85" s="7" t="n">
        <v>6.4</v>
      </c>
      <c r="E85" s="7" t="s">
        <v>260</v>
      </c>
    </row>
    <row r="86" customFormat="false" ht="15" hidden="false" customHeight="false" outlineLevel="0" collapsed="false">
      <c r="A86" s="7" t="s">
        <v>203</v>
      </c>
      <c r="B86" s="7" t="n">
        <v>11.3</v>
      </c>
      <c r="C86" s="7" t="n">
        <v>8.2</v>
      </c>
      <c r="D86" s="7" t="n">
        <v>7.8</v>
      </c>
      <c r="E86" s="7" t="s">
        <v>258</v>
      </c>
    </row>
    <row r="87" customFormat="false" ht="15" hidden="false" customHeight="false" outlineLevel="0" collapsed="false">
      <c r="A87" s="7" t="s">
        <v>204</v>
      </c>
      <c r="B87" s="7" t="n">
        <v>27.9</v>
      </c>
      <c r="C87" s="7" t="n">
        <v>18.8</v>
      </c>
      <c r="D87" s="7" t="n">
        <v>18.6</v>
      </c>
      <c r="E87" s="7" t="s">
        <v>258</v>
      </c>
    </row>
    <row r="88" customFormat="false" ht="15" hidden="false" customHeight="false" outlineLevel="0" collapsed="false">
      <c r="A88" s="7" t="s">
        <v>205</v>
      </c>
      <c r="B88" s="7" t="n">
        <v>32.7</v>
      </c>
      <c r="C88" s="7" t="n">
        <v>14.1</v>
      </c>
      <c r="D88" s="7" t="n">
        <v>13.4</v>
      </c>
      <c r="E88" s="7" t="s">
        <v>258</v>
      </c>
    </row>
    <row r="89" customFormat="false" ht="15" hidden="false" customHeight="false" outlineLevel="0" collapsed="false">
      <c r="A89" s="7" t="s">
        <v>206</v>
      </c>
      <c r="B89" s="7" t="n">
        <v>22.9</v>
      </c>
      <c r="C89" s="7" t="n">
        <v>7</v>
      </c>
      <c r="D89" s="7" t="n">
        <v>4.9</v>
      </c>
      <c r="E89" s="7" t="s">
        <v>258</v>
      </c>
    </row>
    <row r="90" customFormat="false" ht="15" hidden="false" customHeight="false" outlineLevel="0" collapsed="false">
      <c r="A90" s="7" t="s">
        <v>207</v>
      </c>
      <c r="B90" s="7" t="n">
        <v>33.8</v>
      </c>
      <c r="C90" s="7" t="n">
        <v>15.3</v>
      </c>
      <c r="D90" s="7" t="n">
        <v>14.7</v>
      </c>
      <c r="E90" s="7" t="s">
        <v>258</v>
      </c>
    </row>
    <row r="91" customFormat="false" ht="15" hidden="false" customHeight="false" outlineLevel="0" collapsed="false">
      <c r="A91" s="7" t="s">
        <v>208</v>
      </c>
      <c r="B91" s="7" t="n">
        <v>11.6</v>
      </c>
      <c r="C91" s="7" t="n">
        <v>12.1</v>
      </c>
      <c r="D91" s="7" t="n">
        <v>10</v>
      </c>
      <c r="E91" s="7" t="s">
        <v>258</v>
      </c>
    </row>
    <row r="92" customFormat="false" ht="15" hidden="false" customHeight="false" outlineLevel="0" collapsed="false">
      <c r="A92" s="7" t="s">
        <v>209</v>
      </c>
      <c r="B92" s="7" t="n">
        <v>35.5</v>
      </c>
      <c r="C92" s="7" t="n">
        <v>25.7</v>
      </c>
      <c r="D92" s="7" t="n">
        <v>35.6</v>
      </c>
      <c r="E92" s="7" t="s">
        <v>260</v>
      </c>
    </row>
    <row r="93" customFormat="false" ht="15" hidden="false" customHeight="false" outlineLevel="0" collapsed="false">
      <c r="A93" s="7" t="s">
        <v>210</v>
      </c>
      <c r="B93" s="7" t="n">
        <v>34.8</v>
      </c>
      <c r="C93" s="7" t="n">
        <v>4.9</v>
      </c>
      <c r="D93" s="7" t="n">
        <v>9.6</v>
      </c>
      <c r="E93" s="7" t="s">
        <v>260</v>
      </c>
    </row>
    <row r="94" customFormat="false" ht="15" hidden="false" customHeight="false" outlineLevel="0" collapsed="false">
      <c r="A94" s="7" t="s">
        <v>211</v>
      </c>
      <c r="B94" s="7" t="n">
        <v>21.5</v>
      </c>
      <c r="C94" s="7" t="n">
        <v>3.9</v>
      </c>
      <c r="D94" s="7" t="n">
        <v>5.1</v>
      </c>
      <c r="E94" s="7" t="s">
        <v>260</v>
      </c>
    </row>
    <row r="95" customFormat="false" ht="15" hidden="false" customHeight="false" outlineLevel="0" collapsed="false">
      <c r="A95" s="7" t="s">
        <v>212</v>
      </c>
      <c r="B95" s="7" t="n">
        <v>16</v>
      </c>
      <c r="C95" s="7" t="n">
        <v>13.6</v>
      </c>
      <c r="D95" s="7" t="n">
        <v>13.5</v>
      </c>
      <c r="E95" s="7" t="s">
        <v>258</v>
      </c>
    </row>
    <row r="96" customFormat="false" ht="15" hidden="false" customHeight="false" outlineLevel="0" collapsed="false">
      <c r="A96" s="7" t="s">
        <v>213</v>
      </c>
      <c r="B96" s="7" t="n">
        <v>14.4</v>
      </c>
      <c r="C96" s="7" t="n">
        <v>13.6</v>
      </c>
      <c r="D96" s="7" t="n">
        <v>13</v>
      </c>
      <c r="E96" s="7" t="s">
        <v>258</v>
      </c>
    </row>
    <row r="97" customFormat="false" ht="15" hidden="false" customHeight="false" outlineLevel="0" collapsed="false">
      <c r="A97" s="7" t="s">
        <v>214</v>
      </c>
      <c r="B97" s="7" t="n">
        <v>22.5</v>
      </c>
      <c r="C97" s="7" t="n">
        <v>15.3</v>
      </c>
      <c r="D97" s="7" t="n">
        <v>15.9</v>
      </c>
      <c r="E97" s="7" t="s">
        <v>260</v>
      </c>
    </row>
    <row r="98" customFormat="false" ht="15" hidden="false" customHeight="false" outlineLevel="0" collapsed="false">
      <c r="A98" s="7" t="s">
        <v>215</v>
      </c>
      <c r="B98" s="7" t="n">
        <v>7.8</v>
      </c>
      <c r="C98" s="7" t="n">
        <v>6.6</v>
      </c>
      <c r="D98" s="7" t="n">
        <v>7.2</v>
      </c>
      <c r="E98" s="7" t="s">
        <v>260</v>
      </c>
    </row>
    <row r="99" customFormat="false" ht="15" hidden="false" customHeight="false" outlineLevel="0" collapsed="false">
      <c r="A99" s="7" t="s">
        <v>216</v>
      </c>
      <c r="B99" s="7" t="n">
        <v>10.7</v>
      </c>
      <c r="C99" s="7" t="n">
        <v>8.2</v>
      </c>
      <c r="D99" s="7" t="n">
        <v>5.9</v>
      </c>
      <c r="E99" s="7" t="s">
        <v>258</v>
      </c>
    </row>
    <row r="100" customFormat="false" ht="15" hidden="false" customHeight="false" outlineLevel="0" collapsed="false">
      <c r="A100" s="7" t="s">
        <v>217</v>
      </c>
      <c r="B100" s="7" t="n">
        <v>24.9</v>
      </c>
      <c r="C100" s="7" t="n">
        <v>23.9</v>
      </c>
      <c r="D100" s="7" t="n">
        <v>22.9</v>
      </c>
      <c r="E100" s="7" t="s">
        <v>258</v>
      </c>
    </row>
    <row r="101" customFormat="false" ht="15" hidden="false" customHeight="false" outlineLevel="0" collapsed="false">
      <c r="A101" s="7" t="s">
        <v>218</v>
      </c>
      <c r="B101" s="7" t="n">
        <v>9.8</v>
      </c>
      <c r="C101" s="7" t="n">
        <v>7.8</v>
      </c>
      <c r="D101" s="7" t="n">
        <v>8.3</v>
      </c>
      <c r="E101" s="7" t="s">
        <v>260</v>
      </c>
    </row>
    <row r="102" customFormat="false" ht="15" hidden="false" customHeight="false" outlineLevel="0" collapsed="false">
      <c r="A102" s="7" t="s">
        <v>219</v>
      </c>
      <c r="B102" s="7" t="n">
        <v>13.3</v>
      </c>
      <c r="C102" s="7" t="n">
        <v>13.3</v>
      </c>
      <c r="D102" s="7" t="n">
        <v>13.4</v>
      </c>
      <c r="E102" s="7" t="s">
        <v>260</v>
      </c>
    </row>
    <row r="103" customFormat="false" ht="15" hidden="false" customHeight="false" outlineLevel="0" collapsed="false">
      <c r="A103" s="7" t="s">
        <v>220</v>
      </c>
      <c r="B103" s="7" t="n">
        <v>6.5</v>
      </c>
      <c r="C103" s="7" t="n">
        <v>7.8</v>
      </c>
      <c r="D103" s="7" t="n">
        <v>6.3</v>
      </c>
      <c r="E103" s="7" t="s">
        <v>258</v>
      </c>
    </row>
    <row r="104" customFormat="false" ht="15" hidden="false" customHeight="false" outlineLevel="0" collapsed="false">
      <c r="A104" s="7" t="s">
        <v>221</v>
      </c>
      <c r="B104" s="7" t="n">
        <v>46.3</v>
      </c>
      <c r="C104" s="7" t="n">
        <v>18.7</v>
      </c>
      <c r="D104" s="7" t="n">
        <v>13.5</v>
      </c>
      <c r="E104" s="7" t="s">
        <v>258</v>
      </c>
    </row>
    <row r="105" customFormat="false" ht="15" hidden="false" customHeight="false" outlineLevel="0" collapsed="false">
      <c r="A105" s="7" t="s">
        <v>222</v>
      </c>
      <c r="B105" s="7" t="n">
        <v>12.1</v>
      </c>
      <c r="C105" s="7" t="n">
        <v>11.9</v>
      </c>
      <c r="D105" s="7" t="n">
        <v>10.6</v>
      </c>
      <c r="E105" s="7" t="s">
        <v>258</v>
      </c>
    </row>
    <row r="108" customFormat="false" ht="15" hidden="false" customHeight="false" outlineLevel="0" collapsed="false">
      <c r="B108" s="5" t="s">
        <v>261</v>
      </c>
    </row>
    <row r="109" customFormat="false" ht="23.85" hidden="false" customHeight="false" outlineLevel="0" collapsed="false">
      <c r="A109" s="6" t="s">
        <v>262</v>
      </c>
      <c r="B109" s="6" t="s">
        <v>263</v>
      </c>
      <c r="C109" s="6" t="s">
        <v>264</v>
      </c>
    </row>
    <row r="110" customFormat="false" ht="15" hidden="false" customHeight="false" outlineLevel="0" collapsed="false">
      <c r="A110" s="7" t="s">
        <v>265</v>
      </c>
      <c r="B110" s="7" t="n">
        <f aca="false">AVERAGE(B6:B105)</f>
        <v>17.361</v>
      </c>
      <c r="C110" s="7" t="n">
        <v>16</v>
      </c>
    </row>
    <row r="111" customFormat="false" ht="15" hidden="false" customHeight="false" outlineLevel="0" collapsed="false">
      <c r="A111" s="7" t="s">
        <v>266</v>
      </c>
      <c r="B111" s="7" t="n">
        <f aca="false">AVERAGE(C6:C105)</f>
        <v>12.205</v>
      </c>
      <c r="C111" s="7" t="n">
        <v>37</v>
      </c>
    </row>
    <row r="112" customFormat="false" ht="15" hidden="false" customHeight="false" outlineLevel="0" collapsed="false">
      <c r="A112" s="7" t="s">
        <v>267</v>
      </c>
      <c r="B112" s="7" t="n">
        <f aca="false">AVERAGE(D6:D105)</f>
        <v>11.684</v>
      </c>
      <c r="C112" s="7" t="n">
        <v>47</v>
      </c>
    </row>
    <row r="114" customFormat="false" ht="45" hidden="false" customHeight="true" outlineLevel="0" collapsed="false">
      <c r="B114" s="12" t="s">
        <v>268</v>
      </c>
      <c r="C114" s="12"/>
      <c r="D114" s="12"/>
      <c r="E114" s="12"/>
    </row>
  </sheetData>
  <mergeCells count="1">
    <mergeCell ref="B114:E1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20"/>
    <col collapsed="false" customWidth="true" hidden="false" outlineLevel="0" max="4" min="4" style="0" width="14"/>
  </cols>
  <sheetData>
    <row r="2" customFormat="false" ht="17.35" hidden="false" customHeight="false" outlineLevel="0" collapsed="false">
      <c r="B2" s="1" t="s">
        <v>269</v>
      </c>
    </row>
    <row r="3" customFormat="false" ht="30" hidden="false" customHeight="true" outlineLevel="0" collapsed="false">
      <c r="B3" s="13" t="s">
        <v>270</v>
      </c>
      <c r="C3" s="13"/>
      <c r="D3" s="13"/>
      <c r="E3" s="13"/>
      <c r="F3" s="13"/>
      <c r="G3" s="13"/>
      <c r="H3" s="13"/>
    </row>
    <row r="5" customFormat="false" ht="15" hidden="false" customHeight="false" outlineLevel="0" collapsed="false">
      <c r="B5" s="14" t="s">
        <v>271</v>
      </c>
    </row>
    <row r="6" customFormat="false" ht="15" hidden="false" customHeight="false" outlineLevel="0" collapsed="false">
      <c r="B6" s="6" t="s">
        <v>272</v>
      </c>
      <c r="C6" s="6" t="s">
        <v>273</v>
      </c>
      <c r="D6" s="6" t="s">
        <v>274</v>
      </c>
    </row>
    <row r="7" customFormat="false" ht="15" hidden="false" customHeight="false" outlineLevel="0" collapsed="false">
      <c r="B7" s="15" t="s">
        <v>275</v>
      </c>
      <c r="C7" s="16" t="n">
        <v>0.9</v>
      </c>
      <c r="D7" s="15" t="n">
        <v>1.2816</v>
      </c>
    </row>
    <row r="8" customFormat="false" ht="15" hidden="false" customHeight="false" outlineLevel="0" collapsed="false">
      <c r="B8" s="15" t="s">
        <v>276</v>
      </c>
      <c r="C8" s="16" t="n">
        <v>0.95</v>
      </c>
      <c r="D8" s="15" t="n">
        <v>1.6449</v>
      </c>
    </row>
    <row r="9" customFormat="false" ht="15" hidden="false" customHeight="false" outlineLevel="0" collapsed="false">
      <c r="B9" s="15" t="s">
        <v>277</v>
      </c>
      <c r="C9" s="16" t="n">
        <v>0.98</v>
      </c>
      <c r="D9" s="15" t="n">
        <v>2.0537</v>
      </c>
    </row>
    <row r="12" customFormat="false" ht="15" hidden="false" customHeight="false" outlineLevel="0" collapsed="false">
      <c r="B12" s="5" t="s">
        <v>278</v>
      </c>
      <c r="D12" s="17" t="s">
        <v>276</v>
      </c>
    </row>
    <row r="13" customFormat="false" ht="15" hidden="false" customHeight="false" outlineLevel="0" collapsed="false">
      <c r="B13" s="3" t="s">
        <v>279</v>
      </c>
      <c r="D13" s="5" t="n">
        <f aca="false">INDEX(D7:D9,MATCH(D12,B7:B9,0))</f>
        <v>1.6449</v>
      </c>
    </row>
    <row r="16" customFormat="false" ht="15" hidden="false" customHeight="false" outlineLevel="0" collapsed="false">
      <c r="B16" s="14" t="s">
        <v>280</v>
      </c>
    </row>
    <row r="17" customFormat="false" ht="15" hidden="false" customHeight="false" outlineLevel="0" collapsed="false">
      <c r="B17" s="6" t="s">
        <v>281</v>
      </c>
      <c r="C17" s="6" t="s">
        <v>282</v>
      </c>
    </row>
    <row r="18" customFormat="false" ht="15" hidden="false" customHeight="false" outlineLevel="0" collapsed="false">
      <c r="B18" s="15" t="s">
        <v>100</v>
      </c>
      <c r="C18" s="15" t="n">
        <v>3</v>
      </c>
    </row>
    <row r="19" customFormat="false" ht="15" hidden="false" customHeight="false" outlineLevel="0" collapsed="false">
      <c r="B19" s="15" t="s">
        <v>107</v>
      </c>
      <c r="C19" s="15" t="n">
        <v>7</v>
      </c>
    </row>
    <row r="20" customFormat="false" ht="15" hidden="false" customHeight="false" outlineLevel="0" collapsed="false">
      <c r="B20" s="15" t="s">
        <v>96</v>
      </c>
      <c r="C20" s="15" t="n">
        <v>8</v>
      </c>
    </row>
    <row r="21" customFormat="false" ht="15" hidden="false" customHeight="false" outlineLevel="0" collapsed="false">
      <c r="B21" s="15" t="s">
        <v>104</v>
      </c>
      <c r="C21" s="15" t="n">
        <v>10</v>
      </c>
    </row>
    <row r="22" customFormat="false" ht="15" hidden="false" customHeight="false" outlineLevel="0" collapsed="false">
      <c r="B22" s="15" t="s">
        <v>115</v>
      </c>
      <c r="C22" s="15" t="n">
        <v>15</v>
      </c>
    </row>
    <row r="25" customFormat="false" ht="15" hidden="false" customHeight="false" outlineLevel="0" collapsed="false">
      <c r="B25" s="14" t="s">
        <v>283</v>
      </c>
    </row>
    <row r="26" customFormat="false" ht="15" hidden="false" customHeight="false" outlineLevel="0" collapsed="false">
      <c r="B26" s="3" t="s">
        <v>284</v>
      </c>
      <c r="D26" s="17" t="n">
        <v>50</v>
      </c>
    </row>
    <row r="27" customFormat="false" ht="15" hidden="false" customHeight="false" outlineLevel="0" collapsed="false">
      <c r="B27" s="3" t="s">
        <v>285</v>
      </c>
      <c r="D27" s="18" t="n">
        <v>0.2</v>
      </c>
    </row>
    <row r="30" customFormat="false" ht="15" hidden="false" customHeight="false" outlineLevel="0" collapsed="false">
      <c r="B30" s="14" t="s">
        <v>286</v>
      </c>
    </row>
    <row r="31" customFormat="false" ht="15" hidden="false" customHeight="false" outlineLevel="0" collapsed="false">
      <c r="B31" s="3" t="s">
        <v>287</v>
      </c>
      <c r="D31" s="17" t="n">
        <v>90</v>
      </c>
    </row>
    <row r="32" customFormat="false" ht="15" hidden="false" customHeight="false" outlineLevel="0" collapsed="false">
      <c r="B32" s="3" t="s">
        <v>288</v>
      </c>
      <c r="D32" s="18" t="n">
        <v>0.2</v>
      </c>
    </row>
  </sheetData>
  <mergeCells count="1">
    <mergeCell ref="B3:H3"/>
  </mergeCells>
  <dataValidations count="1">
    <dataValidation allowBlank="false" errorStyle="stop" operator="between" showDropDown="false" showErrorMessage="false" showInputMessage="false" sqref="D12" type="list">
      <formula1>"Relaxed,Standard,Conservative"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O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3" min="13" style="0" width="20"/>
    <col collapsed="false" customWidth="true" hidden="false" outlineLevel="0" max="14" min="14" style="0" width="16"/>
    <col collapsed="false" customWidth="true" hidden="false" outlineLevel="0" max="15" min="15" style="0" width="20"/>
  </cols>
  <sheetData>
    <row r="2" customFormat="false" ht="17.35" hidden="false" customHeight="false" outlineLevel="0" collapsed="false">
      <c r="B2" s="1" t="s">
        <v>289</v>
      </c>
    </row>
    <row r="3" customFormat="false" ht="15" hidden="false" customHeight="false" outlineLevel="0" collapsed="false">
      <c r="B3" s="2" t="s">
        <v>290</v>
      </c>
    </row>
    <row r="5" customFormat="false" ht="23.85" hidden="false" customHeight="false" outlineLevel="0" collapsed="false">
      <c r="A5" s="6" t="s">
        <v>81</v>
      </c>
      <c r="B5" s="6" t="s">
        <v>281</v>
      </c>
      <c r="C5" s="6" t="s">
        <v>291</v>
      </c>
      <c r="D5" s="6" t="s">
        <v>87</v>
      </c>
      <c r="E5" s="6" t="s">
        <v>85</v>
      </c>
      <c r="F5" s="6" t="s">
        <v>282</v>
      </c>
      <c r="G5" s="6" t="s">
        <v>292</v>
      </c>
      <c r="H5" s="6" t="s">
        <v>293</v>
      </c>
      <c r="I5" s="6" t="s">
        <v>294</v>
      </c>
      <c r="J5" s="6" t="s">
        <v>295</v>
      </c>
      <c r="K5" s="6" t="s">
        <v>296</v>
      </c>
      <c r="L5" s="6" t="s">
        <v>297</v>
      </c>
      <c r="M5" s="6" t="s">
        <v>298</v>
      </c>
      <c r="N5" s="6" t="s">
        <v>299</v>
      </c>
      <c r="O5" s="6" t="s">
        <v>300</v>
      </c>
    </row>
    <row r="6" customFormat="false" ht="15" hidden="false" customHeight="false" outlineLevel="0" collapsed="false">
      <c r="A6" s="7" t="str">
        <f aca="false">02_SKU_Master!A6</f>
        <v>S005-P0015</v>
      </c>
      <c r="B6" s="7" t="str">
        <f aca="false">02_SKU_Master!D6</f>
        <v>Toys</v>
      </c>
      <c r="C6" s="19" t="n">
        <f aca="false">02_SKU_Master!F6</f>
        <v>149.2</v>
      </c>
      <c r="D6" s="19" t="n">
        <f aca="false">02_SKU_Master!G6</f>
        <v>115.7</v>
      </c>
      <c r="E6" s="20" t="n">
        <f aca="false">02_SKU_Master!E6</f>
        <v>56.11</v>
      </c>
      <c r="F6" s="7" t="n">
        <f aca="false">IFERROR(INDEX(05_Assumptions!$C$18:$C$22,MATCH(B6,05_Assumptions!$B$18:$B$22,0)),10)</f>
        <v>8</v>
      </c>
      <c r="G6" s="19" t="n">
        <f aca="false">C6*F6</f>
        <v>1193.6</v>
      </c>
      <c r="H6" s="19" t="n">
        <f aca="false">05_Assumptions!$D$13*D6*SQRT(F6)</f>
        <v>538.291910256173</v>
      </c>
      <c r="I6" s="19" t="n">
        <f aca="false">G6+H6</f>
        <v>1731.89191025617</v>
      </c>
      <c r="J6" s="19" t="n">
        <f aca="false">IFERROR(SQRT(2*(C6*365)*05_Assumptions!$D$26/(05_Assumptions!$D$27*E6)),0)</f>
        <v>696.619635392361</v>
      </c>
      <c r="K6" s="19" t="n">
        <f aca="false">02_SKU_Master!K6</f>
        <v>408</v>
      </c>
      <c r="L6" s="19" t="n">
        <f aca="false">IFERROR(K6/C6,0)</f>
        <v>2.73458445040215</v>
      </c>
      <c r="M6" s="7" t="str">
        <f aca="false">IF(K6&lt;I6,"CRITICAL - Below ROP",IF(K6&lt;I6*(1+05_Assumptions!$D$32),"WATCH - Near ROP","OK"))</f>
        <v>CRITICAL - Below ROP</v>
      </c>
      <c r="N6" s="7" t="str">
        <f aca="false">IF(L6&gt;05_Assumptions!$D$31,"OVERSTOCK RISK","OK")</f>
        <v>OK</v>
      </c>
      <c r="O6" s="7" t="str">
        <f aca="false">IF(K6&lt;I6,"REORDER NOW",IF(L6&gt;05_Assumptions!$D$31,"REDUCE / HOLD ORDERS","MONITOR"))</f>
        <v>REORDER NOW</v>
      </c>
    </row>
    <row r="7" customFormat="false" ht="15" hidden="false" customHeight="false" outlineLevel="0" collapsed="false">
      <c r="A7" s="7" t="str">
        <f aca="false">02_SKU_Master!A7</f>
        <v>S003-P0013</v>
      </c>
      <c r="B7" s="7" t="str">
        <f aca="false">02_SKU_Master!D7</f>
        <v>Groceries</v>
      </c>
      <c r="C7" s="19" t="n">
        <f aca="false">02_SKU_Master!F7</f>
        <v>147</v>
      </c>
      <c r="D7" s="19" t="n">
        <f aca="false">02_SKU_Master!G7</f>
        <v>112.6</v>
      </c>
      <c r="E7" s="20" t="n">
        <f aca="false">02_SKU_Master!E7</f>
        <v>55.96</v>
      </c>
      <c r="F7" s="7" t="n">
        <f aca="false">IFERROR(INDEX(05_Assumptions!$C$18:$C$22,MATCH(B7,05_Assumptions!$B$18:$B$22,0)),10)</f>
        <v>3</v>
      </c>
      <c r="G7" s="19" t="n">
        <f aca="false">C7*F7</f>
        <v>441</v>
      </c>
      <c r="H7" s="19" t="n">
        <f aca="false">05_Assumptions!$D$13*D7*SQRT(F7)</f>
        <v>320.803072041467</v>
      </c>
      <c r="I7" s="19" t="n">
        <f aca="false">G7+H7</f>
        <v>761.803072041467</v>
      </c>
      <c r="J7" s="19" t="n">
        <f aca="false">IFERROR(SQRT(2*(C7*365)*05_Assumptions!$D$26/(05_Assumptions!$D$27*E7)),0)</f>
        <v>692.390736574626</v>
      </c>
      <c r="K7" s="19" t="n">
        <f aca="false">02_SKU_Master!K7</f>
        <v>388</v>
      </c>
      <c r="L7" s="19" t="n">
        <f aca="false">IFERROR(K7/C7,0)</f>
        <v>2.63945578231293</v>
      </c>
      <c r="M7" s="7" t="str">
        <f aca="false">IF(K7&lt;I7,"CRITICAL - Below ROP",IF(K7&lt;I7*(1+05_Assumptions!$D$32),"WATCH - Near ROP","OK"))</f>
        <v>CRITICAL - Below ROP</v>
      </c>
      <c r="N7" s="7" t="str">
        <f aca="false">IF(L7&gt;05_Assumptions!$D$31,"OVERSTOCK RISK","OK")</f>
        <v>OK</v>
      </c>
      <c r="O7" s="7" t="str">
        <f aca="false">IF(K7&lt;I7,"REORDER NOW",IF(L7&gt;05_Assumptions!$D$31,"REDUCE / HOLD ORDERS","MONITOR"))</f>
        <v>REORDER NOW</v>
      </c>
    </row>
    <row r="8" customFormat="false" ht="15" hidden="false" customHeight="false" outlineLevel="0" collapsed="false">
      <c r="A8" s="7" t="str">
        <f aca="false">02_SKU_Master!A8</f>
        <v>S002-P0020</v>
      </c>
      <c r="B8" s="7" t="str">
        <f aca="false">02_SKU_Master!D8</f>
        <v>Electronics</v>
      </c>
      <c r="C8" s="19" t="n">
        <f aca="false">02_SKU_Master!F8</f>
        <v>144.1</v>
      </c>
      <c r="D8" s="19" t="n">
        <f aca="false">02_SKU_Master!G8</f>
        <v>113.5</v>
      </c>
      <c r="E8" s="20" t="n">
        <f aca="false">02_SKU_Master!E8</f>
        <v>56.87</v>
      </c>
      <c r="F8" s="7" t="n">
        <f aca="false">IFERROR(INDEX(05_Assumptions!$C$18:$C$22,MATCH(B8,05_Assumptions!$B$18:$B$22,0)),10)</f>
        <v>10</v>
      </c>
      <c r="G8" s="19" t="n">
        <f aca="false">C8*F8</f>
        <v>1441</v>
      </c>
      <c r="H8" s="19" t="n">
        <f aca="false">05_Assumptions!$D$13*D8*SQRT(F8)</f>
        <v>590.385064384445</v>
      </c>
      <c r="I8" s="19" t="n">
        <f aca="false">G8+H8</f>
        <v>2031.38506438444</v>
      </c>
      <c r="J8" s="19" t="n">
        <f aca="false">IFERROR(SQRT(2*(C8*365)*05_Assumptions!$D$26/(05_Assumptions!$D$27*E8)),0)</f>
        <v>680.020195399277</v>
      </c>
      <c r="K8" s="19" t="n">
        <f aca="false">02_SKU_Master!K8</f>
        <v>284</v>
      </c>
      <c r="L8" s="19" t="n">
        <f aca="false">IFERROR(K8/C8,0)</f>
        <v>1.97085357390701</v>
      </c>
      <c r="M8" s="7" t="str">
        <f aca="false">IF(K8&lt;I8,"CRITICAL - Below ROP",IF(K8&lt;I8*(1+05_Assumptions!$D$32),"WATCH - Near ROP","OK"))</f>
        <v>CRITICAL - Below ROP</v>
      </c>
      <c r="N8" s="7" t="str">
        <f aca="false">IF(L8&gt;05_Assumptions!$D$31,"OVERSTOCK RISK","OK")</f>
        <v>OK</v>
      </c>
      <c r="O8" s="7" t="str">
        <f aca="false">IF(K8&lt;I8,"REORDER NOW",IF(L8&gt;05_Assumptions!$D$31,"REDUCE / HOLD ORDERS","MONITOR"))</f>
        <v>REORDER NOW</v>
      </c>
    </row>
    <row r="9" customFormat="false" ht="15" hidden="false" customHeight="false" outlineLevel="0" collapsed="false">
      <c r="A9" s="7" t="str">
        <f aca="false">02_SKU_Master!A9</f>
        <v>S003-P0014</v>
      </c>
      <c r="B9" s="7" t="str">
        <f aca="false">02_SKU_Master!D9</f>
        <v>Clothing</v>
      </c>
      <c r="C9" s="19" t="n">
        <f aca="false">02_SKU_Master!F9</f>
        <v>143.9</v>
      </c>
      <c r="D9" s="19" t="n">
        <f aca="false">02_SKU_Master!G9</f>
        <v>113</v>
      </c>
      <c r="E9" s="20" t="n">
        <f aca="false">02_SKU_Master!E9</f>
        <v>55.81</v>
      </c>
      <c r="F9" s="7" t="n">
        <f aca="false">IFERROR(INDEX(05_Assumptions!$C$18:$C$22,MATCH(B9,05_Assumptions!$B$18:$B$22,0)),10)</f>
        <v>7</v>
      </c>
      <c r="G9" s="19" t="n">
        <f aca="false">C9*F9</f>
        <v>1007.3</v>
      </c>
      <c r="H9" s="19" t="n">
        <f aca="false">05_Assumptions!$D$13*D9*SQRT(F9)</f>
        <v>491.775585467426</v>
      </c>
      <c r="I9" s="19" t="n">
        <f aca="false">G9+H9</f>
        <v>1499.07558546743</v>
      </c>
      <c r="J9" s="19" t="n">
        <f aca="false">IFERROR(SQRT(2*(C9*365)*05_Assumptions!$D$26/(05_Assumptions!$D$27*E9)),0)</f>
        <v>685.971101365254</v>
      </c>
      <c r="K9" s="19" t="n">
        <f aca="false">02_SKU_Master!K9</f>
        <v>230</v>
      </c>
      <c r="L9" s="19" t="n">
        <f aca="false">IFERROR(K9/C9,0)</f>
        <v>1.59833217512161</v>
      </c>
      <c r="M9" s="7" t="str">
        <f aca="false">IF(K9&lt;I9,"CRITICAL - Below ROP",IF(K9&lt;I9*(1+05_Assumptions!$D$32),"WATCH - Near ROP","OK"))</f>
        <v>CRITICAL - Below ROP</v>
      </c>
      <c r="N9" s="7" t="str">
        <f aca="false">IF(L9&gt;05_Assumptions!$D$31,"OVERSTOCK RISK","OK")</f>
        <v>OK</v>
      </c>
      <c r="O9" s="7" t="str">
        <f aca="false">IF(K9&lt;I9,"REORDER NOW",IF(L9&gt;05_Assumptions!$D$31,"REDUCE / HOLD ORDERS","MONITOR"))</f>
        <v>REORDER NOW</v>
      </c>
    </row>
    <row r="10" customFormat="false" ht="15" hidden="false" customHeight="false" outlineLevel="0" collapsed="false">
      <c r="A10" s="7" t="str">
        <f aca="false">02_SKU_Master!A10</f>
        <v>S002-P0009</v>
      </c>
      <c r="B10" s="7" t="str">
        <f aca="false">02_SKU_Master!D10</f>
        <v>Toys</v>
      </c>
      <c r="C10" s="19" t="n">
        <f aca="false">02_SKU_Master!F10</f>
        <v>144.2</v>
      </c>
      <c r="D10" s="19" t="n">
        <f aca="false">02_SKU_Master!G10</f>
        <v>112.4</v>
      </c>
      <c r="E10" s="20" t="n">
        <f aca="false">02_SKU_Master!E10</f>
        <v>55.48</v>
      </c>
      <c r="F10" s="7" t="n">
        <f aca="false">IFERROR(INDEX(05_Assumptions!$C$18:$C$22,MATCH(B10,05_Assumptions!$B$18:$B$22,0)),10)</f>
        <v>8</v>
      </c>
      <c r="G10" s="19" t="n">
        <f aca="false">C10*F10</f>
        <v>1153.6</v>
      </c>
      <c r="H10" s="19" t="n">
        <f aca="false">05_Assumptions!$D$13*D10*SQRT(F10)</f>
        <v>522.938726990439</v>
      </c>
      <c r="I10" s="19" t="n">
        <f aca="false">G10+H10</f>
        <v>1676.53872699044</v>
      </c>
      <c r="J10" s="19" t="n">
        <f aca="false">IFERROR(SQRT(2*(C10*365)*05_Assumptions!$D$26/(05_Assumptions!$D$27*E10)),0)</f>
        <v>688.724985217727</v>
      </c>
      <c r="K10" s="19" t="n">
        <f aca="false">02_SKU_Master!K10</f>
        <v>62</v>
      </c>
      <c r="L10" s="19" t="n">
        <f aca="false">IFERROR(K10/C10,0)</f>
        <v>0.42995839112344</v>
      </c>
      <c r="M10" s="7" t="str">
        <f aca="false">IF(K10&lt;I10,"CRITICAL - Below ROP",IF(K10&lt;I10*(1+05_Assumptions!$D$32),"WATCH - Near ROP","OK"))</f>
        <v>CRITICAL - Below ROP</v>
      </c>
      <c r="N10" s="7" t="str">
        <f aca="false">IF(L10&gt;05_Assumptions!$D$31,"OVERSTOCK RISK","OK")</f>
        <v>OK</v>
      </c>
      <c r="O10" s="7" t="str">
        <f aca="false">IF(K10&lt;I10,"REORDER NOW",IF(L10&gt;05_Assumptions!$D$31,"REDUCE / HOLD ORDERS","MONITOR"))</f>
        <v>REORDER NOW</v>
      </c>
    </row>
    <row r="11" customFormat="false" ht="15" hidden="false" customHeight="false" outlineLevel="0" collapsed="false">
      <c r="A11" s="7" t="str">
        <f aca="false">02_SKU_Master!A11</f>
        <v>S005-P0003</v>
      </c>
      <c r="B11" s="7" t="str">
        <f aca="false">02_SKU_Master!D11</f>
        <v>Toys</v>
      </c>
      <c r="C11" s="19" t="n">
        <f aca="false">02_SKU_Master!F11</f>
        <v>144.6</v>
      </c>
      <c r="D11" s="19" t="n">
        <f aca="false">02_SKU_Master!G11</f>
        <v>111.9</v>
      </c>
      <c r="E11" s="20" t="n">
        <f aca="false">02_SKU_Master!E11</f>
        <v>54.75</v>
      </c>
      <c r="F11" s="7" t="n">
        <f aca="false">IFERROR(INDEX(05_Assumptions!$C$18:$C$22,MATCH(B11,05_Assumptions!$B$18:$B$22,0)),10)</f>
        <v>8</v>
      </c>
      <c r="G11" s="19" t="n">
        <f aca="false">C11*F11</f>
        <v>1156.8</v>
      </c>
      <c r="H11" s="19" t="n">
        <f aca="false">05_Assumptions!$D$13*D11*SQRT(F11)</f>
        <v>520.612487101692</v>
      </c>
      <c r="I11" s="19" t="n">
        <f aca="false">G11+H11</f>
        <v>1677.41248710169</v>
      </c>
      <c r="J11" s="19" t="n">
        <f aca="false">IFERROR(SQRT(2*(C11*365)*05_Assumptions!$D$26/(05_Assumptions!$D$27*E11)),0)</f>
        <v>694.262198308391</v>
      </c>
      <c r="K11" s="19" t="n">
        <f aca="false">02_SKU_Master!K11</f>
        <v>98</v>
      </c>
      <c r="L11" s="19" t="n">
        <f aca="false">IFERROR(K11/C11,0)</f>
        <v>0.677731673582296</v>
      </c>
      <c r="M11" s="7" t="str">
        <f aca="false">IF(K11&lt;I11,"CRITICAL - Below ROP",IF(K11&lt;I11*(1+05_Assumptions!$D$32),"WATCH - Near ROP","OK"))</f>
        <v>CRITICAL - Below ROP</v>
      </c>
      <c r="N11" s="7" t="str">
        <f aca="false">IF(L11&gt;05_Assumptions!$D$31,"OVERSTOCK RISK","OK")</f>
        <v>OK</v>
      </c>
      <c r="O11" s="7" t="str">
        <f aca="false">IF(K11&lt;I11,"REORDER NOW",IF(L11&gt;05_Assumptions!$D$31,"REDUCE / HOLD ORDERS","MONITOR"))</f>
        <v>REORDER NOW</v>
      </c>
    </row>
    <row r="12" customFormat="false" ht="15" hidden="false" customHeight="false" outlineLevel="0" collapsed="false">
      <c r="A12" s="7" t="str">
        <f aca="false">02_SKU_Master!A12</f>
        <v>S004-P0016</v>
      </c>
      <c r="B12" s="7" t="str">
        <f aca="false">02_SKU_Master!D12</f>
        <v>Furniture</v>
      </c>
      <c r="C12" s="19" t="n">
        <f aca="false">02_SKU_Master!F12</f>
        <v>143.3</v>
      </c>
      <c r="D12" s="19" t="n">
        <f aca="false">02_SKU_Master!G12</f>
        <v>107.7</v>
      </c>
      <c r="E12" s="20" t="n">
        <f aca="false">02_SKU_Master!E12</f>
        <v>55.05</v>
      </c>
      <c r="F12" s="7" t="n">
        <f aca="false">IFERROR(INDEX(05_Assumptions!$C$18:$C$22,MATCH(B12,05_Assumptions!$B$18:$B$22,0)),10)</f>
        <v>15</v>
      </c>
      <c r="G12" s="19" t="n">
        <f aca="false">C12*F12</f>
        <v>2149.5</v>
      </c>
      <c r="H12" s="19" t="n">
        <f aca="false">05_Assumptions!$D$13*D12*SQRT(F12)</f>
        <v>686.121191975218</v>
      </c>
      <c r="I12" s="19" t="n">
        <f aca="false">G12+H12</f>
        <v>2835.62119197522</v>
      </c>
      <c r="J12" s="19" t="n">
        <f aca="false">IFERROR(SQRT(2*(C12*365)*05_Assumptions!$D$26/(05_Assumptions!$D$27*E12)),0)</f>
        <v>689.248560800051</v>
      </c>
      <c r="K12" s="19" t="n">
        <f aca="false">02_SKU_Master!K12</f>
        <v>314</v>
      </c>
      <c r="L12" s="19" t="n">
        <f aca="false">IFERROR(K12/C12,0)</f>
        <v>2.19120725750174</v>
      </c>
      <c r="M12" s="7" t="str">
        <f aca="false">IF(K12&lt;I12,"CRITICAL - Below ROP",IF(K12&lt;I12*(1+05_Assumptions!$D$32),"WATCH - Near ROP","OK"))</f>
        <v>CRITICAL - Below ROP</v>
      </c>
      <c r="N12" s="7" t="str">
        <f aca="false">IF(L12&gt;05_Assumptions!$D$31,"OVERSTOCK RISK","OK")</f>
        <v>OK</v>
      </c>
      <c r="O12" s="7" t="str">
        <f aca="false">IF(K12&lt;I12,"REORDER NOW",IF(L12&gt;05_Assumptions!$D$31,"REDUCE / HOLD ORDERS","MONITOR"))</f>
        <v>REORDER NOW</v>
      </c>
    </row>
    <row r="13" customFormat="false" ht="15" hidden="false" customHeight="false" outlineLevel="0" collapsed="false">
      <c r="A13" s="7" t="str">
        <f aca="false">02_SKU_Master!A13</f>
        <v>S004-P0014</v>
      </c>
      <c r="B13" s="7" t="str">
        <f aca="false">02_SKU_Master!D13</f>
        <v>Furniture</v>
      </c>
      <c r="C13" s="19" t="n">
        <f aca="false">02_SKU_Master!F13</f>
        <v>142.1</v>
      </c>
      <c r="D13" s="19" t="n">
        <f aca="false">02_SKU_Master!G13</f>
        <v>111</v>
      </c>
      <c r="E13" s="20" t="n">
        <f aca="false">02_SKU_Master!E13</f>
        <v>55.51</v>
      </c>
      <c r="F13" s="7" t="n">
        <f aca="false">IFERROR(INDEX(05_Assumptions!$C$18:$C$22,MATCH(B13,05_Assumptions!$B$18:$B$22,0)),10)</f>
        <v>15</v>
      </c>
      <c r="G13" s="19" t="n">
        <f aca="false">C13*F13</f>
        <v>2131.5</v>
      </c>
      <c r="H13" s="19" t="n">
        <f aca="false">05_Assumptions!$D$13*D13*SQRT(F13)</f>
        <v>707.1444039856</v>
      </c>
      <c r="I13" s="19" t="n">
        <f aca="false">G13+H13</f>
        <v>2838.6444039856</v>
      </c>
      <c r="J13" s="19" t="n">
        <f aca="false">IFERROR(SQRT(2*(C13*365)*05_Assumptions!$D$26/(05_Assumptions!$D$27*E13)),0)</f>
        <v>683.506831643181</v>
      </c>
      <c r="K13" s="19" t="n">
        <f aca="false">02_SKU_Master!K13</f>
        <v>386</v>
      </c>
      <c r="L13" s="19" t="n">
        <f aca="false">IFERROR(K13/C13,0)</f>
        <v>2.71639690358902</v>
      </c>
      <c r="M13" s="7" t="str">
        <f aca="false">IF(K13&lt;I13,"CRITICAL - Below ROP",IF(K13&lt;I13*(1+05_Assumptions!$D$32),"WATCH - Near ROP","OK"))</f>
        <v>CRITICAL - Below ROP</v>
      </c>
      <c r="N13" s="7" t="str">
        <f aca="false">IF(L13&gt;05_Assumptions!$D$31,"OVERSTOCK RISK","OK")</f>
        <v>OK</v>
      </c>
      <c r="O13" s="7" t="str">
        <f aca="false">IF(K13&lt;I13,"REORDER NOW",IF(L13&gt;05_Assumptions!$D$31,"REDUCE / HOLD ORDERS","MONITOR"))</f>
        <v>REORDER NOW</v>
      </c>
    </row>
    <row r="14" customFormat="false" ht="15" hidden="false" customHeight="false" outlineLevel="0" collapsed="false">
      <c r="A14" s="7" t="str">
        <f aca="false">02_SKU_Master!A14</f>
        <v>S004-P0011</v>
      </c>
      <c r="B14" s="7" t="str">
        <f aca="false">02_SKU_Master!D14</f>
        <v>Electronics</v>
      </c>
      <c r="C14" s="19" t="n">
        <f aca="false">02_SKU_Master!F14</f>
        <v>139.7</v>
      </c>
      <c r="D14" s="19" t="n">
        <f aca="false">02_SKU_Master!G14</f>
        <v>106.6</v>
      </c>
      <c r="E14" s="20" t="n">
        <f aca="false">02_SKU_Master!E14</f>
        <v>56.36</v>
      </c>
      <c r="F14" s="7" t="n">
        <f aca="false">IFERROR(INDEX(05_Assumptions!$C$18:$C$22,MATCH(B14,05_Assumptions!$B$18:$B$22,0)),10)</f>
        <v>10</v>
      </c>
      <c r="G14" s="19" t="n">
        <f aca="false">C14*F14</f>
        <v>1397</v>
      </c>
      <c r="H14" s="19" t="n">
        <f aca="false">05_Assumptions!$D$13*D14*SQRT(F14)</f>
        <v>554.493813774289</v>
      </c>
      <c r="I14" s="19" t="n">
        <f aca="false">G14+H14</f>
        <v>1951.49381377429</v>
      </c>
      <c r="J14" s="19" t="n">
        <f aca="false">IFERROR(SQRT(2*(C14*365)*05_Assumptions!$D$26/(05_Assumptions!$D$27*E14)),0)</f>
        <v>672.5803040801</v>
      </c>
      <c r="K14" s="19" t="n">
        <f aca="false">02_SKU_Master!K14</f>
        <v>155</v>
      </c>
      <c r="L14" s="19" t="n">
        <f aca="false">IFERROR(K14/C14,0)</f>
        <v>1.10952040085898</v>
      </c>
      <c r="M14" s="7" t="str">
        <f aca="false">IF(K14&lt;I14,"CRITICAL - Below ROP",IF(K14&lt;I14*(1+05_Assumptions!$D$32),"WATCH - Near ROP","OK"))</f>
        <v>CRITICAL - Below ROP</v>
      </c>
      <c r="N14" s="7" t="str">
        <f aca="false">IF(L14&gt;05_Assumptions!$D$31,"OVERSTOCK RISK","OK")</f>
        <v>OK</v>
      </c>
      <c r="O14" s="7" t="str">
        <f aca="false">IF(K14&lt;I14,"REORDER NOW",IF(L14&gt;05_Assumptions!$D$31,"REDUCE / HOLD ORDERS","MONITOR"))</f>
        <v>REORDER NOW</v>
      </c>
    </row>
    <row r="15" customFormat="false" ht="15" hidden="false" customHeight="false" outlineLevel="0" collapsed="false">
      <c r="A15" s="7" t="str">
        <f aca="false">02_SKU_Master!A15</f>
        <v>S003-P0007</v>
      </c>
      <c r="B15" s="7" t="str">
        <f aca="false">02_SKU_Master!D15</f>
        <v>Electronics</v>
      </c>
      <c r="C15" s="19" t="n">
        <f aca="false">02_SKU_Master!F15</f>
        <v>138.8</v>
      </c>
      <c r="D15" s="19" t="n">
        <f aca="false">02_SKU_Master!G15</f>
        <v>110.8</v>
      </c>
      <c r="E15" s="20" t="n">
        <f aca="false">02_SKU_Master!E15</f>
        <v>56.67</v>
      </c>
      <c r="F15" s="7" t="n">
        <f aca="false">IFERROR(INDEX(05_Assumptions!$C$18:$C$22,MATCH(B15,05_Assumptions!$B$18:$B$22,0)),10)</f>
        <v>10</v>
      </c>
      <c r="G15" s="19" t="n">
        <f aca="false">C15*F15</f>
        <v>1388</v>
      </c>
      <c r="H15" s="19" t="n">
        <f aca="false">05_Assumptions!$D$13*D15*SQRT(F15)</f>
        <v>576.340661971775</v>
      </c>
      <c r="I15" s="19" t="n">
        <f aca="false">G15+H15</f>
        <v>1964.34066197178</v>
      </c>
      <c r="J15" s="19" t="n">
        <f aca="false">IFERROR(SQRT(2*(C15*365)*05_Assumptions!$D$26/(05_Assumptions!$D$27*E15)),0)</f>
        <v>668.574119638053</v>
      </c>
      <c r="K15" s="19" t="n">
        <f aca="false">02_SKU_Master!K15</f>
        <v>108</v>
      </c>
      <c r="L15" s="19" t="n">
        <f aca="false">IFERROR(K15/C15,0)</f>
        <v>0.778097982708934</v>
      </c>
      <c r="M15" s="7" t="str">
        <f aca="false">IF(K15&lt;I15,"CRITICAL - Below ROP",IF(K15&lt;I15*(1+05_Assumptions!$D$32),"WATCH - Near ROP","OK"))</f>
        <v>CRITICAL - Below ROP</v>
      </c>
      <c r="N15" s="7" t="str">
        <f aca="false">IF(L15&gt;05_Assumptions!$D$31,"OVERSTOCK RISK","OK")</f>
        <v>OK</v>
      </c>
      <c r="O15" s="7" t="str">
        <f aca="false">IF(K15&lt;I15,"REORDER NOW",IF(L15&gt;05_Assumptions!$D$31,"REDUCE / HOLD ORDERS","MONITOR"))</f>
        <v>REORDER NOW</v>
      </c>
    </row>
    <row r="16" customFormat="false" ht="15" hidden="false" customHeight="false" outlineLevel="0" collapsed="false">
      <c r="A16" s="7" t="str">
        <f aca="false">02_SKU_Master!A16</f>
        <v>S003-P0006</v>
      </c>
      <c r="B16" s="7" t="str">
        <f aca="false">02_SKU_Master!D16</f>
        <v>Furniture</v>
      </c>
      <c r="C16" s="19" t="n">
        <f aca="false">02_SKU_Master!F16</f>
        <v>139.8</v>
      </c>
      <c r="D16" s="19" t="n">
        <f aca="false">02_SKU_Master!G16</f>
        <v>114.1</v>
      </c>
      <c r="E16" s="20" t="n">
        <f aca="false">02_SKU_Master!E16</f>
        <v>56.28</v>
      </c>
      <c r="F16" s="7" t="n">
        <f aca="false">IFERROR(INDEX(05_Assumptions!$C$18:$C$22,MATCH(B16,05_Assumptions!$B$18:$B$22,0)),10)</f>
        <v>15</v>
      </c>
      <c r="G16" s="19" t="n">
        <f aca="false">C16*F16</f>
        <v>2097</v>
      </c>
      <c r="H16" s="19" t="n">
        <f aca="false">05_Assumptions!$D$13*D16*SQRT(F16)</f>
        <v>726.893481934748</v>
      </c>
      <c r="I16" s="19" t="n">
        <f aca="false">G16+H16</f>
        <v>2823.89348193475</v>
      </c>
      <c r="J16" s="19" t="n">
        <f aca="false">IFERROR(SQRT(2*(C16*365)*05_Assumptions!$D$26/(05_Assumptions!$D$27*E16)),0)</f>
        <v>673.299009729851</v>
      </c>
      <c r="K16" s="19" t="n">
        <f aca="false">02_SKU_Master!K16</f>
        <v>451</v>
      </c>
      <c r="L16" s="19" t="n">
        <f aca="false">IFERROR(K16/C16,0)</f>
        <v>3.22603719599428</v>
      </c>
      <c r="M16" s="7" t="str">
        <f aca="false">IF(K16&lt;I16,"CRITICAL - Below ROP",IF(K16&lt;I16*(1+05_Assumptions!$D$32),"WATCH - Near ROP","OK"))</f>
        <v>CRITICAL - Below ROP</v>
      </c>
      <c r="N16" s="7" t="str">
        <f aca="false">IF(L16&gt;05_Assumptions!$D$31,"OVERSTOCK RISK","OK")</f>
        <v>OK</v>
      </c>
      <c r="O16" s="7" t="str">
        <f aca="false">IF(K16&lt;I16,"REORDER NOW",IF(L16&gt;05_Assumptions!$D$31,"REDUCE / HOLD ORDERS","MONITOR"))</f>
        <v>REORDER NOW</v>
      </c>
    </row>
    <row r="17" customFormat="false" ht="15" hidden="false" customHeight="false" outlineLevel="0" collapsed="false">
      <c r="A17" s="7" t="str">
        <f aca="false">02_SKU_Master!A17</f>
        <v>S002-P0011</v>
      </c>
      <c r="B17" s="7" t="str">
        <f aca="false">02_SKU_Master!D17</f>
        <v>Toys</v>
      </c>
      <c r="C17" s="19" t="n">
        <f aca="false">02_SKU_Master!F17</f>
        <v>135.6</v>
      </c>
      <c r="D17" s="19" t="n">
        <f aca="false">02_SKU_Master!G17</f>
        <v>108.7</v>
      </c>
      <c r="E17" s="20" t="n">
        <f aca="false">02_SKU_Master!E17</f>
        <v>57.95</v>
      </c>
      <c r="F17" s="7" t="n">
        <f aca="false">IFERROR(INDEX(05_Assumptions!$C$18:$C$22,MATCH(B17,05_Assumptions!$B$18:$B$22,0)),10)</f>
        <v>8</v>
      </c>
      <c r="G17" s="19" t="n">
        <f aca="false">C17*F17</f>
        <v>1084.8</v>
      </c>
      <c r="H17" s="19" t="n">
        <f aca="false">05_Assumptions!$D$13*D17*SQRT(F17)</f>
        <v>505.724551813707</v>
      </c>
      <c r="I17" s="19" t="n">
        <f aca="false">G17+H17</f>
        <v>1590.52455181371</v>
      </c>
      <c r="J17" s="19" t="n">
        <f aca="false">IFERROR(SQRT(2*(C17*365)*05_Assumptions!$D$26/(05_Assumptions!$D$27*E17)),0)</f>
        <v>653.483398565084</v>
      </c>
      <c r="K17" s="19" t="n">
        <f aca="false">02_SKU_Master!K17</f>
        <v>156</v>
      </c>
      <c r="L17" s="19" t="n">
        <f aca="false">IFERROR(K17/C17,0)</f>
        <v>1.15044247787611</v>
      </c>
      <c r="M17" s="7" t="str">
        <f aca="false">IF(K17&lt;I17,"CRITICAL - Below ROP",IF(K17&lt;I17*(1+05_Assumptions!$D$32),"WATCH - Near ROP","OK"))</f>
        <v>CRITICAL - Below ROP</v>
      </c>
      <c r="N17" s="7" t="str">
        <f aca="false">IF(L17&gt;05_Assumptions!$D$31,"OVERSTOCK RISK","OK")</f>
        <v>OK</v>
      </c>
      <c r="O17" s="7" t="str">
        <f aca="false">IF(K17&lt;I17,"REORDER NOW",IF(L17&gt;05_Assumptions!$D$31,"REDUCE / HOLD ORDERS","MONITOR"))</f>
        <v>REORDER NOW</v>
      </c>
    </row>
    <row r="18" customFormat="false" ht="15" hidden="false" customHeight="false" outlineLevel="0" collapsed="false">
      <c r="A18" s="7" t="str">
        <f aca="false">02_SKU_Master!A18</f>
        <v>S003-P0019</v>
      </c>
      <c r="B18" s="7" t="str">
        <f aca="false">02_SKU_Master!D18</f>
        <v>Furniture</v>
      </c>
      <c r="C18" s="19" t="n">
        <f aca="false">02_SKU_Master!F18</f>
        <v>143</v>
      </c>
      <c r="D18" s="19" t="n">
        <f aca="false">02_SKU_Master!G18</f>
        <v>111.2</v>
      </c>
      <c r="E18" s="20" t="n">
        <f aca="false">02_SKU_Master!E18</f>
        <v>54.95</v>
      </c>
      <c r="F18" s="7" t="n">
        <f aca="false">IFERROR(INDEX(05_Assumptions!$C$18:$C$22,MATCH(B18,05_Assumptions!$B$18:$B$22,0)),10)</f>
        <v>15</v>
      </c>
      <c r="G18" s="19" t="n">
        <f aca="false">C18*F18</f>
        <v>2145</v>
      </c>
      <c r="H18" s="19" t="n">
        <f aca="false">05_Assumptions!$D$13*D18*SQRT(F18)</f>
        <v>708.418538046836</v>
      </c>
      <c r="I18" s="19" t="n">
        <f aca="false">G18+H18</f>
        <v>2853.41853804684</v>
      </c>
      <c r="J18" s="19" t="n">
        <f aca="false">IFERROR(SQRT(2*(C18*365)*05_Assumptions!$D$26/(05_Assumptions!$D$27*E18)),0)</f>
        <v>689.152926527884</v>
      </c>
      <c r="K18" s="19" t="n">
        <f aca="false">02_SKU_Master!K18</f>
        <v>253</v>
      </c>
      <c r="L18" s="19" t="n">
        <f aca="false">IFERROR(K18/C18,0)</f>
        <v>1.76923076923077</v>
      </c>
      <c r="M18" s="7" t="str">
        <f aca="false">IF(K18&lt;I18,"CRITICAL - Below ROP",IF(K18&lt;I18*(1+05_Assumptions!$D$32),"WATCH - Near ROP","OK"))</f>
        <v>CRITICAL - Below ROP</v>
      </c>
      <c r="N18" s="7" t="str">
        <f aca="false">IF(L18&gt;05_Assumptions!$D$31,"OVERSTOCK RISK","OK")</f>
        <v>OK</v>
      </c>
      <c r="O18" s="7" t="str">
        <f aca="false">IF(K18&lt;I18,"REORDER NOW",IF(L18&gt;05_Assumptions!$D$31,"REDUCE / HOLD ORDERS","MONITOR"))</f>
        <v>REORDER NOW</v>
      </c>
    </row>
    <row r="19" customFormat="false" ht="15" hidden="false" customHeight="false" outlineLevel="0" collapsed="false">
      <c r="A19" s="7" t="str">
        <f aca="false">02_SKU_Master!A19</f>
        <v>S003-P0005</v>
      </c>
      <c r="B19" s="7" t="str">
        <f aca="false">02_SKU_Master!D19</f>
        <v>Toys</v>
      </c>
      <c r="C19" s="19" t="n">
        <f aca="false">02_SKU_Master!F19</f>
        <v>144.2</v>
      </c>
      <c r="D19" s="19" t="n">
        <f aca="false">02_SKU_Master!G19</f>
        <v>109.3</v>
      </c>
      <c r="E19" s="20" t="n">
        <f aca="false">02_SKU_Master!E19</f>
        <v>54.43</v>
      </c>
      <c r="F19" s="7" t="n">
        <f aca="false">IFERROR(INDEX(05_Assumptions!$C$18:$C$22,MATCH(B19,05_Assumptions!$B$18:$B$22,0)),10)</f>
        <v>8</v>
      </c>
      <c r="G19" s="19" t="n">
        <f aca="false">C19*F19</f>
        <v>1153.6</v>
      </c>
      <c r="H19" s="19" t="n">
        <f aca="false">05_Assumptions!$D$13*D19*SQRT(F19)</f>
        <v>508.516039680204</v>
      </c>
      <c r="I19" s="19" t="n">
        <f aca="false">G19+H19</f>
        <v>1662.1160396802</v>
      </c>
      <c r="J19" s="19" t="n">
        <f aca="false">IFERROR(SQRT(2*(C19*365)*05_Assumptions!$D$26/(05_Assumptions!$D$27*E19)),0)</f>
        <v>695.336292199978</v>
      </c>
      <c r="K19" s="19" t="n">
        <f aca="false">02_SKU_Master!K19</f>
        <v>411</v>
      </c>
      <c r="L19" s="19" t="n">
        <f aca="false">IFERROR(K19/C19,0)</f>
        <v>2.8502080443828</v>
      </c>
      <c r="M19" s="7" t="str">
        <f aca="false">IF(K19&lt;I19,"CRITICAL - Below ROP",IF(K19&lt;I19*(1+05_Assumptions!$D$32),"WATCH - Near ROP","OK"))</f>
        <v>CRITICAL - Below ROP</v>
      </c>
      <c r="N19" s="7" t="str">
        <f aca="false">IF(L19&gt;05_Assumptions!$D$31,"OVERSTOCK RISK","OK")</f>
        <v>OK</v>
      </c>
      <c r="O19" s="7" t="str">
        <f aca="false">IF(K19&lt;I19,"REORDER NOW",IF(L19&gt;05_Assumptions!$D$31,"REDUCE / HOLD ORDERS","MONITOR"))</f>
        <v>REORDER NOW</v>
      </c>
    </row>
    <row r="20" customFormat="false" ht="15" hidden="false" customHeight="false" outlineLevel="0" collapsed="false">
      <c r="A20" s="7" t="str">
        <f aca="false">02_SKU_Master!A20</f>
        <v>S001-P0004</v>
      </c>
      <c r="B20" s="7" t="str">
        <f aca="false">02_SKU_Master!D20</f>
        <v>Electronics</v>
      </c>
      <c r="C20" s="19" t="n">
        <f aca="false">02_SKU_Master!F20</f>
        <v>140.9</v>
      </c>
      <c r="D20" s="19" t="n">
        <f aca="false">02_SKU_Master!G20</f>
        <v>113.6</v>
      </c>
      <c r="E20" s="20" t="n">
        <f aca="false">02_SKU_Master!E20</f>
        <v>55.61</v>
      </c>
      <c r="F20" s="7" t="n">
        <f aca="false">IFERROR(INDEX(05_Assumptions!$C$18:$C$22,MATCH(B20,05_Assumptions!$B$18:$B$22,0)),10)</f>
        <v>10</v>
      </c>
      <c r="G20" s="19" t="n">
        <f aca="false">C20*F20</f>
        <v>1409</v>
      </c>
      <c r="H20" s="19" t="n">
        <f aca="false">05_Assumptions!$D$13*D20*SQRT(F20)</f>
        <v>590.905227436766</v>
      </c>
      <c r="I20" s="19" t="n">
        <f aca="false">G20+H20</f>
        <v>1999.90522743677</v>
      </c>
      <c r="J20" s="19" t="n">
        <f aca="false">IFERROR(SQRT(2*(C20*365)*05_Assumptions!$D$26/(05_Assumptions!$D$27*E20)),0)</f>
        <v>680.002459350091</v>
      </c>
      <c r="K20" s="19" t="n">
        <f aca="false">02_SKU_Master!K20</f>
        <v>338</v>
      </c>
      <c r="L20" s="19" t="n">
        <f aca="false">IFERROR(K20/C20,0)</f>
        <v>2.39886444286728</v>
      </c>
      <c r="M20" s="7" t="str">
        <f aca="false">IF(K20&lt;I20,"CRITICAL - Below ROP",IF(K20&lt;I20*(1+05_Assumptions!$D$32),"WATCH - Near ROP","OK"))</f>
        <v>CRITICAL - Below ROP</v>
      </c>
      <c r="N20" s="7" t="str">
        <f aca="false">IF(L20&gt;05_Assumptions!$D$31,"OVERSTOCK RISK","OK")</f>
        <v>OK</v>
      </c>
      <c r="O20" s="7" t="str">
        <f aca="false">IF(K20&lt;I20,"REORDER NOW",IF(L20&gt;05_Assumptions!$D$31,"REDUCE / HOLD ORDERS","MONITOR"))</f>
        <v>REORDER NOW</v>
      </c>
    </row>
    <row r="21" customFormat="false" ht="15" hidden="false" customHeight="false" outlineLevel="0" collapsed="false">
      <c r="A21" s="7" t="str">
        <f aca="false">02_SKU_Master!A21</f>
        <v>S003-P0011</v>
      </c>
      <c r="B21" s="7" t="str">
        <f aca="false">02_SKU_Master!D21</f>
        <v>Toys</v>
      </c>
      <c r="C21" s="19" t="n">
        <f aca="false">02_SKU_Master!F21</f>
        <v>138.7</v>
      </c>
      <c r="D21" s="19" t="n">
        <f aca="false">02_SKU_Master!G21</f>
        <v>108.6</v>
      </c>
      <c r="E21" s="20" t="n">
        <f aca="false">02_SKU_Master!E21</f>
        <v>56.46</v>
      </c>
      <c r="F21" s="7" t="n">
        <f aca="false">IFERROR(INDEX(05_Assumptions!$C$18:$C$22,MATCH(B21,05_Assumptions!$B$18:$B$22,0)),10)</f>
        <v>8</v>
      </c>
      <c r="G21" s="19" t="n">
        <f aca="false">C21*F21</f>
        <v>1109.6</v>
      </c>
      <c r="H21" s="19" t="n">
        <f aca="false">05_Assumptions!$D$13*D21*SQRT(F21)</f>
        <v>505.259303835958</v>
      </c>
      <c r="I21" s="19" t="n">
        <f aca="false">G21+H21</f>
        <v>1614.85930383596</v>
      </c>
      <c r="J21" s="19" t="n">
        <f aca="false">IFERROR(SQRT(2*(C21*365)*05_Assumptions!$D$26/(05_Assumptions!$D$27*E21)),0)</f>
        <v>669.574996983305</v>
      </c>
      <c r="K21" s="19" t="n">
        <f aca="false">02_SKU_Master!K21</f>
        <v>137</v>
      </c>
      <c r="L21" s="19" t="n">
        <f aca="false">IFERROR(K21/C21,0)</f>
        <v>0.987743330930065</v>
      </c>
      <c r="M21" s="7" t="str">
        <f aca="false">IF(K21&lt;I21,"CRITICAL - Below ROP",IF(K21&lt;I21*(1+05_Assumptions!$D$32),"WATCH - Near ROP","OK"))</f>
        <v>CRITICAL - Below ROP</v>
      </c>
      <c r="N21" s="7" t="str">
        <f aca="false">IF(L21&gt;05_Assumptions!$D$31,"OVERSTOCK RISK","OK")</f>
        <v>OK</v>
      </c>
      <c r="O21" s="7" t="str">
        <f aca="false">IF(K21&lt;I21,"REORDER NOW",IF(L21&gt;05_Assumptions!$D$31,"REDUCE / HOLD ORDERS","MONITOR"))</f>
        <v>REORDER NOW</v>
      </c>
    </row>
    <row r="22" customFormat="false" ht="15" hidden="false" customHeight="false" outlineLevel="0" collapsed="false">
      <c r="A22" s="7" t="str">
        <f aca="false">02_SKU_Master!A22</f>
        <v>S003-P0017</v>
      </c>
      <c r="B22" s="7" t="str">
        <f aca="false">02_SKU_Master!D22</f>
        <v>Clothing</v>
      </c>
      <c r="C22" s="19" t="n">
        <f aca="false">02_SKU_Master!F22</f>
        <v>143</v>
      </c>
      <c r="D22" s="19" t="n">
        <f aca="false">02_SKU_Master!G22</f>
        <v>107.8</v>
      </c>
      <c r="E22" s="20" t="n">
        <f aca="false">02_SKU_Master!E22</f>
        <v>54.51</v>
      </c>
      <c r="F22" s="7" t="n">
        <f aca="false">IFERROR(INDEX(05_Assumptions!$C$18:$C$22,MATCH(B22,05_Assumptions!$B$18:$B$22,0)),10)</f>
        <v>7</v>
      </c>
      <c r="G22" s="19" t="n">
        <f aca="false">C22*F22</f>
        <v>1001</v>
      </c>
      <c r="H22" s="19" t="n">
        <f aca="false">05_Assumptions!$D$13*D22*SQRT(F22)</f>
        <v>469.145204543262</v>
      </c>
      <c r="I22" s="19" t="n">
        <f aca="false">G22+H22</f>
        <v>1470.14520454326</v>
      </c>
      <c r="J22" s="19" t="n">
        <f aca="false">IFERROR(SQRT(2*(C22*365)*05_Assumptions!$D$26/(05_Assumptions!$D$27*E22)),0)</f>
        <v>691.928727654349</v>
      </c>
      <c r="K22" s="19" t="n">
        <f aca="false">02_SKU_Master!K22</f>
        <v>239</v>
      </c>
      <c r="L22" s="19" t="n">
        <f aca="false">IFERROR(K22/C22,0)</f>
        <v>1.67132867132867</v>
      </c>
      <c r="M22" s="7" t="str">
        <f aca="false">IF(K22&lt;I22,"CRITICAL - Below ROP",IF(K22&lt;I22*(1+05_Assumptions!$D$32),"WATCH - Near ROP","OK"))</f>
        <v>CRITICAL - Below ROP</v>
      </c>
      <c r="N22" s="7" t="str">
        <f aca="false">IF(L22&gt;05_Assumptions!$D$31,"OVERSTOCK RISK","OK")</f>
        <v>OK</v>
      </c>
      <c r="O22" s="7" t="str">
        <f aca="false">IF(K22&lt;I22,"REORDER NOW",IF(L22&gt;05_Assumptions!$D$31,"REDUCE / HOLD ORDERS","MONITOR"))</f>
        <v>REORDER NOW</v>
      </c>
    </row>
    <row r="23" customFormat="false" ht="15" hidden="false" customHeight="false" outlineLevel="0" collapsed="false">
      <c r="A23" s="7" t="str">
        <f aca="false">02_SKU_Master!A23</f>
        <v>S002-P0001</v>
      </c>
      <c r="B23" s="7" t="str">
        <f aca="false">02_SKU_Master!D23</f>
        <v>Groceries</v>
      </c>
      <c r="C23" s="19" t="n">
        <f aca="false">02_SKU_Master!F23</f>
        <v>145</v>
      </c>
      <c r="D23" s="19" t="n">
        <f aca="false">02_SKU_Master!G23</f>
        <v>113.6</v>
      </c>
      <c r="E23" s="20" t="n">
        <f aca="false">02_SKU_Master!E23</f>
        <v>53.7</v>
      </c>
      <c r="F23" s="7" t="n">
        <f aca="false">IFERROR(INDEX(05_Assumptions!$C$18:$C$22,MATCH(B23,05_Assumptions!$B$18:$B$22,0)),10)</f>
        <v>3</v>
      </c>
      <c r="G23" s="19" t="n">
        <f aca="false">C23*F23</f>
        <v>435</v>
      </c>
      <c r="H23" s="19" t="n">
        <f aca="false">05_Assumptions!$D$13*D23*SQRT(F23)</f>
        <v>323.652122414837</v>
      </c>
      <c r="I23" s="19" t="n">
        <f aca="false">G23+H23</f>
        <v>758.652122414837</v>
      </c>
      <c r="J23" s="19" t="n">
        <f aca="false">IFERROR(SQRT(2*(C23*365)*05_Assumptions!$D$26/(05_Assumptions!$D$27*E23)),0)</f>
        <v>701.985744230195</v>
      </c>
      <c r="K23" s="19" t="n">
        <f aca="false">02_SKU_Master!K23</f>
        <v>415</v>
      </c>
      <c r="L23" s="19" t="n">
        <f aca="false">IFERROR(K23/C23,0)</f>
        <v>2.86206896551724</v>
      </c>
      <c r="M23" s="7" t="str">
        <f aca="false">IF(K23&lt;I23,"CRITICAL - Below ROP",IF(K23&lt;I23*(1+05_Assumptions!$D$32),"WATCH - Near ROP","OK"))</f>
        <v>CRITICAL - Below ROP</v>
      </c>
      <c r="N23" s="7" t="str">
        <f aca="false">IF(L23&gt;05_Assumptions!$D$31,"OVERSTOCK RISK","OK")</f>
        <v>OK</v>
      </c>
      <c r="O23" s="7" t="str">
        <f aca="false">IF(K23&lt;I23,"REORDER NOW",IF(L23&gt;05_Assumptions!$D$31,"REDUCE / HOLD ORDERS","MONITOR"))</f>
        <v>REORDER NOW</v>
      </c>
    </row>
    <row r="24" customFormat="false" ht="15" hidden="false" customHeight="false" outlineLevel="0" collapsed="false">
      <c r="A24" s="7" t="str">
        <f aca="false">02_SKU_Master!A24</f>
        <v>S005-P0011</v>
      </c>
      <c r="B24" s="7" t="str">
        <f aca="false">02_SKU_Master!D24</f>
        <v>Furniture</v>
      </c>
      <c r="C24" s="19" t="n">
        <f aca="false">02_SKU_Master!F24</f>
        <v>136.6</v>
      </c>
      <c r="D24" s="19" t="n">
        <f aca="false">02_SKU_Master!G24</f>
        <v>107.5</v>
      </c>
      <c r="E24" s="20" t="n">
        <f aca="false">02_SKU_Master!E24</f>
        <v>57.02</v>
      </c>
      <c r="F24" s="7" t="n">
        <f aca="false">IFERROR(INDEX(05_Assumptions!$C$18:$C$22,MATCH(B24,05_Assumptions!$B$18:$B$22,0)),10)</f>
        <v>15</v>
      </c>
      <c r="G24" s="19" t="n">
        <f aca="false">C24*F24</f>
        <v>2049</v>
      </c>
      <c r="H24" s="19" t="n">
        <f aca="false">05_Assumptions!$D$13*D24*SQRT(F24)</f>
        <v>684.847057913982</v>
      </c>
      <c r="I24" s="19" t="n">
        <f aca="false">G24+H24</f>
        <v>2733.84705791398</v>
      </c>
      <c r="J24" s="19" t="n">
        <f aca="false">IFERROR(SQRT(2*(C24*365)*05_Assumptions!$D$26/(05_Assumptions!$D$27*E24)),0)</f>
        <v>661.215731379223</v>
      </c>
      <c r="K24" s="19" t="n">
        <f aca="false">02_SKU_Master!K24</f>
        <v>156</v>
      </c>
      <c r="L24" s="19" t="n">
        <f aca="false">IFERROR(K24/C24,0)</f>
        <v>1.14202049780381</v>
      </c>
      <c r="M24" s="7" t="str">
        <f aca="false">IF(K24&lt;I24,"CRITICAL - Below ROP",IF(K24&lt;I24*(1+05_Assumptions!$D$32),"WATCH - Near ROP","OK"))</f>
        <v>CRITICAL - Below ROP</v>
      </c>
      <c r="N24" s="7" t="str">
        <f aca="false">IF(L24&gt;05_Assumptions!$D$31,"OVERSTOCK RISK","OK")</f>
        <v>OK</v>
      </c>
      <c r="O24" s="7" t="str">
        <f aca="false">IF(K24&lt;I24,"REORDER NOW",IF(L24&gt;05_Assumptions!$D$31,"REDUCE / HOLD ORDERS","MONITOR"))</f>
        <v>REORDER NOW</v>
      </c>
    </row>
    <row r="25" customFormat="false" ht="15" hidden="false" customHeight="false" outlineLevel="0" collapsed="false">
      <c r="A25" s="7" t="str">
        <f aca="false">02_SKU_Master!A25</f>
        <v>S004-P0005</v>
      </c>
      <c r="B25" s="7" t="str">
        <f aca="false">02_SKU_Master!D25</f>
        <v>Furniture</v>
      </c>
      <c r="C25" s="19" t="n">
        <f aca="false">02_SKU_Master!F25</f>
        <v>137.2</v>
      </c>
      <c r="D25" s="19" t="n">
        <f aca="false">02_SKU_Master!G25</f>
        <v>107.1</v>
      </c>
      <c r="E25" s="20" t="n">
        <f aca="false">02_SKU_Master!E25</f>
        <v>56.52</v>
      </c>
      <c r="F25" s="7" t="n">
        <f aca="false">IFERROR(INDEX(05_Assumptions!$C$18:$C$22,MATCH(B25,05_Assumptions!$B$18:$B$22,0)),10)</f>
        <v>15</v>
      </c>
      <c r="G25" s="19" t="n">
        <f aca="false">C25*F25</f>
        <v>2058</v>
      </c>
      <c r="H25" s="19" t="n">
        <f aca="false">05_Assumptions!$D$13*D25*SQRT(F25)</f>
        <v>682.298789791512</v>
      </c>
      <c r="I25" s="19" t="n">
        <f aca="false">G25+H25</f>
        <v>2740.29878979151</v>
      </c>
      <c r="J25" s="19" t="n">
        <f aca="false">IFERROR(SQRT(2*(C25*365)*05_Assumptions!$D$26/(05_Assumptions!$D$27*E25)),0)</f>
        <v>665.590958040549</v>
      </c>
      <c r="K25" s="19" t="n">
        <f aca="false">02_SKU_Master!K25</f>
        <v>217</v>
      </c>
      <c r="L25" s="19" t="n">
        <f aca="false">IFERROR(K25/C25,0)</f>
        <v>1.58163265306122</v>
      </c>
      <c r="M25" s="7" t="str">
        <f aca="false">IF(K25&lt;I25,"CRITICAL - Below ROP",IF(K25&lt;I25*(1+05_Assumptions!$D$32),"WATCH - Near ROP","OK"))</f>
        <v>CRITICAL - Below ROP</v>
      </c>
      <c r="N25" s="7" t="str">
        <f aca="false">IF(L25&gt;05_Assumptions!$D$31,"OVERSTOCK RISK","OK")</f>
        <v>OK</v>
      </c>
      <c r="O25" s="7" t="str">
        <f aca="false">IF(K25&lt;I25,"REORDER NOW",IF(L25&gt;05_Assumptions!$D$31,"REDUCE / HOLD ORDERS","MONITOR"))</f>
        <v>REORDER NOW</v>
      </c>
    </row>
    <row r="26" customFormat="false" ht="15" hidden="false" customHeight="false" outlineLevel="0" collapsed="false">
      <c r="A26" s="7" t="str">
        <f aca="false">02_SKU_Master!A26</f>
        <v>S005-P0014</v>
      </c>
      <c r="B26" s="7" t="str">
        <f aca="false">02_SKU_Master!D26</f>
        <v>Toys</v>
      </c>
      <c r="C26" s="19" t="n">
        <f aca="false">02_SKU_Master!F26</f>
        <v>137.4</v>
      </c>
      <c r="D26" s="19" t="n">
        <f aca="false">02_SKU_Master!G26</f>
        <v>111.2</v>
      </c>
      <c r="E26" s="20" t="n">
        <f aca="false">02_SKU_Master!E26</f>
        <v>56.3</v>
      </c>
      <c r="F26" s="7" t="n">
        <f aca="false">IFERROR(INDEX(05_Assumptions!$C$18:$C$22,MATCH(B26,05_Assumptions!$B$18:$B$22,0)),10)</f>
        <v>8</v>
      </c>
      <c r="G26" s="19" t="n">
        <f aca="false">C26*F26</f>
        <v>1099.2</v>
      </c>
      <c r="H26" s="19" t="n">
        <f aca="false">05_Assumptions!$D$13*D26*SQRT(F26)</f>
        <v>517.355751257445</v>
      </c>
      <c r="I26" s="19" t="n">
        <f aca="false">G26+H26</f>
        <v>1616.55575125745</v>
      </c>
      <c r="J26" s="19" t="n">
        <f aca="false">IFERROR(SQRT(2*(C26*365)*05_Assumptions!$D$26/(05_Assumptions!$D$27*E26)),0)</f>
        <v>667.376028761553</v>
      </c>
      <c r="K26" s="19" t="n">
        <f aca="false">02_SKU_Master!K26</f>
        <v>328</v>
      </c>
      <c r="L26" s="19" t="n">
        <f aca="false">IFERROR(K26/C26,0)</f>
        <v>2.38719068413392</v>
      </c>
      <c r="M26" s="7" t="str">
        <f aca="false">IF(K26&lt;I26,"CRITICAL - Below ROP",IF(K26&lt;I26*(1+05_Assumptions!$D$32),"WATCH - Near ROP","OK"))</f>
        <v>CRITICAL - Below ROP</v>
      </c>
      <c r="N26" s="7" t="str">
        <f aca="false">IF(L26&gt;05_Assumptions!$D$31,"OVERSTOCK RISK","OK")</f>
        <v>OK</v>
      </c>
      <c r="O26" s="7" t="str">
        <f aca="false">IF(K26&lt;I26,"REORDER NOW",IF(L26&gt;05_Assumptions!$D$31,"REDUCE / HOLD ORDERS","MONITOR"))</f>
        <v>REORDER NOW</v>
      </c>
    </row>
    <row r="27" customFormat="false" ht="15" hidden="false" customHeight="false" outlineLevel="0" collapsed="false">
      <c r="A27" s="7" t="str">
        <f aca="false">02_SKU_Master!A27</f>
        <v>S003-P0002</v>
      </c>
      <c r="B27" s="7" t="str">
        <f aca="false">02_SKU_Master!D27</f>
        <v>Groceries</v>
      </c>
      <c r="C27" s="19" t="n">
        <f aca="false">02_SKU_Master!F27</f>
        <v>142.7</v>
      </c>
      <c r="D27" s="19" t="n">
        <f aca="false">02_SKU_Master!G27</f>
        <v>112</v>
      </c>
      <c r="E27" s="20" t="n">
        <f aca="false">02_SKU_Master!E27</f>
        <v>53.98</v>
      </c>
      <c r="F27" s="7" t="n">
        <f aca="false">IFERROR(INDEX(05_Assumptions!$C$18:$C$22,MATCH(B27,05_Assumptions!$B$18:$B$22,0)),10)</f>
        <v>3</v>
      </c>
      <c r="G27" s="19" t="n">
        <f aca="false">C27*F27</f>
        <v>428.1</v>
      </c>
      <c r="H27" s="19" t="n">
        <f aca="false">05_Assumptions!$D$13*D27*SQRT(F27)</f>
        <v>319.093641817445</v>
      </c>
      <c r="I27" s="19" t="n">
        <f aca="false">G27+H27</f>
        <v>747.193641817445</v>
      </c>
      <c r="J27" s="19" t="n">
        <f aca="false">IFERROR(SQRT(2*(C27*365)*05_Assumptions!$D$26/(05_Assumptions!$D$27*E27)),0)</f>
        <v>694.587527970807</v>
      </c>
      <c r="K27" s="19" t="n">
        <f aca="false">02_SKU_Master!K27</f>
        <v>388</v>
      </c>
      <c r="L27" s="19" t="n">
        <f aca="false">IFERROR(K27/C27,0)</f>
        <v>2.71899088997898</v>
      </c>
      <c r="M27" s="7" t="str">
        <f aca="false">IF(K27&lt;I27,"CRITICAL - Below ROP",IF(K27&lt;I27*(1+05_Assumptions!$D$32),"WATCH - Near ROP","OK"))</f>
        <v>CRITICAL - Below ROP</v>
      </c>
      <c r="N27" s="7" t="str">
        <f aca="false">IF(L27&gt;05_Assumptions!$D$31,"OVERSTOCK RISK","OK")</f>
        <v>OK</v>
      </c>
      <c r="O27" s="7" t="str">
        <f aca="false">IF(K27&lt;I27,"REORDER NOW",IF(L27&gt;05_Assumptions!$D$31,"REDUCE / HOLD ORDERS","MONITOR"))</f>
        <v>REORDER NOW</v>
      </c>
    </row>
    <row r="28" customFormat="false" ht="15" hidden="false" customHeight="false" outlineLevel="0" collapsed="false">
      <c r="A28" s="7" t="str">
        <f aca="false">02_SKU_Master!A28</f>
        <v>S001-P0003</v>
      </c>
      <c r="B28" s="7" t="str">
        <f aca="false">02_SKU_Master!D28</f>
        <v>Clothing</v>
      </c>
      <c r="C28" s="19" t="n">
        <f aca="false">02_SKU_Master!F28</f>
        <v>141.4</v>
      </c>
      <c r="D28" s="19" t="n">
        <f aca="false">02_SKU_Master!G28</f>
        <v>107.2</v>
      </c>
      <c r="E28" s="20" t="n">
        <f aca="false">02_SKU_Master!E28</f>
        <v>54.34</v>
      </c>
      <c r="F28" s="7" t="n">
        <f aca="false">IFERROR(INDEX(05_Assumptions!$C$18:$C$22,MATCH(B28,05_Assumptions!$B$18:$B$22,0)),10)</f>
        <v>7</v>
      </c>
      <c r="G28" s="19" t="n">
        <f aca="false">C28*F28</f>
        <v>989.8</v>
      </c>
      <c r="H28" s="19" t="n">
        <f aca="false">05_Assumptions!$D$13*D28*SQRT(F28)</f>
        <v>466.53400674432</v>
      </c>
      <c r="I28" s="19" t="n">
        <f aca="false">G28+H28</f>
        <v>1456.33400674432</v>
      </c>
      <c r="J28" s="19" t="n">
        <f aca="false">IFERROR(SQRT(2*(C28*365)*05_Assumptions!$D$26/(05_Assumptions!$D$27*E28)),0)</f>
        <v>689.122328835825</v>
      </c>
      <c r="K28" s="19" t="n">
        <f aca="false">02_SKU_Master!K28</f>
        <v>69</v>
      </c>
      <c r="L28" s="19" t="n">
        <f aca="false">IFERROR(K28/C28,0)</f>
        <v>0.487977369165488</v>
      </c>
      <c r="M28" s="7" t="str">
        <f aca="false">IF(K28&lt;I28,"CRITICAL - Below ROP",IF(K28&lt;I28*(1+05_Assumptions!$D$32),"WATCH - Near ROP","OK"))</f>
        <v>CRITICAL - Below ROP</v>
      </c>
      <c r="N28" s="7" t="str">
        <f aca="false">IF(L28&gt;05_Assumptions!$D$31,"OVERSTOCK RISK","OK")</f>
        <v>OK</v>
      </c>
      <c r="O28" s="7" t="str">
        <f aca="false">IF(K28&lt;I28,"REORDER NOW",IF(L28&gt;05_Assumptions!$D$31,"REDUCE / HOLD ORDERS","MONITOR"))</f>
        <v>REORDER NOW</v>
      </c>
    </row>
    <row r="29" customFormat="false" ht="15" hidden="false" customHeight="false" outlineLevel="0" collapsed="false">
      <c r="A29" s="7" t="str">
        <f aca="false">02_SKU_Master!A29</f>
        <v>S001-P0020</v>
      </c>
      <c r="B29" s="7" t="str">
        <f aca="false">02_SKU_Master!D29</f>
        <v>Electronics</v>
      </c>
      <c r="C29" s="19" t="n">
        <f aca="false">02_SKU_Master!F29</f>
        <v>138.4</v>
      </c>
      <c r="D29" s="19" t="n">
        <f aca="false">02_SKU_Master!G29</f>
        <v>111.2</v>
      </c>
      <c r="E29" s="20" t="n">
        <f aca="false">02_SKU_Master!E29</f>
        <v>55.54</v>
      </c>
      <c r="F29" s="7" t="n">
        <f aca="false">IFERROR(INDEX(05_Assumptions!$C$18:$C$22,MATCH(B29,05_Assumptions!$B$18:$B$22,0)),10)</f>
        <v>10</v>
      </c>
      <c r="G29" s="19" t="n">
        <f aca="false">C29*F29</f>
        <v>1384</v>
      </c>
      <c r="H29" s="19" t="n">
        <f aca="false">05_Assumptions!$D$13*D29*SQRT(F29)</f>
        <v>578.42131418106</v>
      </c>
      <c r="I29" s="19" t="n">
        <f aca="false">G29+H29</f>
        <v>1962.42131418106</v>
      </c>
      <c r="J29" s="19" t="n">
        <f aca="false">IFERROR(SQRT(2*(C29*365)*05_Assumptions!$D$26/(05_Assumptions!$D$27*E29)),0)</f>
        <v>674.367359807748</v>
      </c>
      <c r="K29" s="19" t="n">
        <f aca="false">02_SKU_Master!K29</f>
        <v>242</v>
      </c>
      <c r="L29" s="19" t="n">
        <f aca="false">IFERROR(K29/C29,0)</f>
        <v>1.7485549132948</v>
      </c>
      <c r="M29" s="7" t="str">
        <f aca="false">IF(K29&lt;I29,"CRITICAL - Below ROP",IF(K29&lt;I29*(1+05_Assumptions!$D$32),"WATCH - Near ROP","OK"))</f>
        <v>CRITICAL - Below ROP</v>
      </c>
      <c r="N29" s="7" t="str">
        <f aca="false">IF(L29&gt;05_Assumptions!$D$31,"OVERSTOCK RISK","OK")</f>
        <v>OK</v>
      </c>
      <c r="O29" s="7" t="str">
        <f aca="false">IF(K29&lt;I29,"REORDER NOW",IF(L29&gt;05_Assumptions!$D$31,"REDUCE / HOLD ORDERS","MONITOR"))</f>
        <v>REORDER NOW</v>
      </c>
    </row>
    <row r="30" customFormat="false" ht="15" hidden="false" customHeight="false" outlineLevel="0" collapsed="false">
      <c r="A30" s="7" t="str">
        <f aca="false">02_SKU_Master!A30</f>
        <v>S002-P0016</v>
      </c>
      <c r="B30" s="7" t="str">
        <f aca="false">02_SKU_Master!D30</f>
        <v>Clothing</v>
      </c>
      <c r="C30" s="19" t="n">
        <f aca="false">02_SKU_Master!F30</f>
        <v>138.2</v>
      </c>
      <c r="D30" s="19" t="n">
        <f aca="false">02_SKU_Master!G30</f>
        <v>108.4</v>
      </c>
      <c r="E30" s="20" t="n">
        <f aca="false">02_SKU_Master!E30</f>
        <v>55.53</v>
      </c>
      <c r="F30" s="7" t="n">
        <f aca="false">IFERROR(INDEX(05_Assumptions!$C$18:$C$22,MATCH(B30,05_Assumptions!$B$18:$B$22,0)),10)</f>
        <v>7</v>
      </c>
      <c r="G30" s="19" t="n">
        <f aca="false">C30*F30</f>
        <v>967.4</v>
      </c>
      <c r="H30" s="19" t="n">
        <f aca="false">05_Assumptions!$D$13*D30*SQRT(F30)</f>
        <v>471.756402342204</v>
      </c>
      <c r="I30" s="19" t="n">
        <f aca="false">G30+H30</f>
        <v>1439.1564023422</v>
      </c>
      <c r="J30" s="19" t="n">
        <f aca="false">IFERROR(SQRT(2*(C30*365)*05_Assumptions!$D$26/(05_Assumptions!$D$27*E30)),0)</f>
        <v>673.940598367437</v>
      </c>
      <c r="K30" s="19" t="n">
        <f aca="false">02_SKU_Master!K30</f>
        <v>258</v>
      </c>
      <c r="L30" s="19" t="n">
        <f aca="false">IFERROR(K30/C30,0)</f>
        <v>1.86685962373372</v>
      </c>
      <c r="M30" s="7" t="str">
        <f aca="false">IF(K30&lt;I30,"CRITICAL - Below ROP",IF(K30&lt;I30*(1+05_Assumptions!$D$32),"WATCH - Near ROP","OK"))</f>
        <v>CRITICAL - Below ROP</v>
      </c>
      <c r="N30" s="7" t="str">
        <f aca="false">IF(L30&gt;05_Assumptions!$D$31,"OVERSTOCK RISK","OK")</f>
        <v>OK</v>
      </c>
      <c r="O30" s="7" t="str">
        <f aca="false">IF(K30&lt;I30,"REORDER NOW",IF(L30&gt;05_Assumptions!$D$31,"REDUCE / HOLD ORDERS","MONITOR"))</f>
        <v>REORDER NOW</v>
      </c>
    </row>
    <row r="31" customFormat="false" ht="15" hidden="false" customHeight="false" outlineLevel="0" collapsed="false">
      <c r="A31" s="7" t="str">
        <f aca="false">02_SKU_Master!A31</f>
        <v>S001-P0018</v>
      </c>
      <c r="B31" s="7" t="str">
        <f aca="false">02_SKU_Master!D31</f>
        <v>Furniture</v>
      </c>
      <c r="C31" s="19" t="n">
        <f aca="false">02_SKU_Master!F31</f>
        <v>138.8</v>
      </c>
      <c r="D31" s="19" t="n">
        <f aca="false">02_SKU_Master!G31</f>
        <v>109.1</v>
      </c>
      <c r="E31" s="20" t="n">
        <f aca="false">02_SKU_Master!E31</f>
        <v>55.29</v>
      </c>
      <c r="F31" s="7" t="n">
        <f aca="false">IFERROR(INDEX(05_Assumptions!$C$18:$C$22,MATCH(B31,05_Assumptions!$B$18:$B$22,0)),10)</f>
        <v>15</v>
      </c>
      <c r="G31" s="19" t="n">
        <f aca="false">C31*F31</f>
        <v>2082</v>
      </c>
      <c r="H31" s="19" t="n">
        <f aca="false">05_Assumptions!$D$13*D31*SQRT(F31)</f>
        <v>695.040130403865</v>
      </c>
      <c r="I31" s="19" t="n">
        <f aca="false">G31+H31</f>
        <v>2777.04013040387</v>
      </c>
      <c r="J31" s="19" t="n">
        <f aca="false">IFERROR(SQRT(2*(C31*365)*05_Assumptions!$D$26/(05_Assumptions!$D$27*E31)),0)</f>
        <v>676.866269796004</v>
      </c>
      <c r="K31" s="19" t="n">
        <f aca="false">02_SKU_Master!K31</f>
        <v>191</v>
      </c>
      <c r="L31" s="19" t="n">
        <f aca="false">IFERROR(K31/C31,0)</f>
        <v>1.37608069164265</v>
      </c>
      <c r="M31" s="7" t="str">
        <f aca="false">IF(K31&lt;I31,"CRITICAL - Below ROP",IF(K31&lt;I31*(1+05_Assumptions!$D$32),"WATCH - Near ROP","OK"))</f>
        <v>CRITICAL - Below ROP</v>
      </c>
      <c r="N31" s="7" t="str">
        <f aca="false">IF(L31&gt;05_Assumptions!$D$31,"OVERSTOCK RISK","OK")</f>
        <v>OK</v>
      </c>
      <c r="O31" s="7" t="str">
        <f aca="false">IF(K31&lt;I31,"REORDER NOW",IF(L31&gt;05_Assumptions!$D$31,"REDUCE / HOLD ORDERS","MONITOR"))</f>
        <v>REORDER NOW</v>
      </c>
    </row>
    <row r="32" customFormat="false" ht="15" hidden="false" customHeight="false" outlineLevel="0" collapsed="false">
      <c r="A32" s="7" t="str">
        <f aca="false">02_SKU_Master!A32</f>
        <v>S005-P0013</v>
      </c>
      <c r="B32" s="7" t="str">
        <f aca="false">02_SKU_Master!D32</f>
        <v>Toys</v>
      </c>
      <c r="C32" s="19" t="n">
        <f aca="false">02_SKU_Master!F32</f>
        <v>139.3</v>
      </c>
      <c r="D32" s="19" t="n">
        <f aca="false">02_SKU_Master!G32</f>
        <v>107.3</v>
      </c>
      <c r="E32" s="20" t="n">
        <f aca="false">02_SKU_Master!E32</f>
        <v>55.07</v>
      </c>
      <c r="F32" s="7" t="n">
        <f aca="false">IFERROR(INDEX(05_Assumptions!$C$18:$C$22,MATCH(B32,05_Assumptions!$B$18:$B$22,0)),10)</f>
        <v>8</v>
      </c>
      <c r="G32" s="19" t="n">
        <f aca="false">C32*F32</f>
        <v>1114.4</v>
      </c>
      <c r="H32" s="19" t="n">
        <f aca="false">05_Assumptions!$D$13*D32*SQRT(F32)</f>
        <v>499.211080125214</v>
      </c>
      <c r="I32" s="19" t="n">
        <f aca="false">G32+H32</f>
        <v>1613.61108012521</v>
      </c>
      <c r="J32" s="19" t="n">
        <f aca="false">IFERROR(SQRT(2*(C32*365)*05_Assumptions!$D$26/(05_Assumptions!$D$27*E32)),0)</f>
        <v>679.437408135849</v>
      </c>
      <c r="K32" s="19" t="n">
        <f aca="false">02_SKU_Master!K32</f>
        <v>389</v>
      </c>
      <c r="L32" s="19" t="n">
        <f aca="false">IFERROR(K32/C32,0)</f>
        <v>2.79253409906676</v>
      </c>
      <c r="M32" s="7" t="str">
        <f aca="false">IF(K32&lt;I32,"CRITICAL - Below ROP",IF(K32&lt;I32*(1+05_Assumptions!$D$32),"WATCH - Near ROP","OK"))</f>
        <v>CRITICAL - Below ROP</v>
      </c>
      <c r="N32" s="7" t="str">
        <f aca="false">IF(L32&gt;05_Assumptions!$D$31,"OVERSTOCK RISK","OK")</f>
        <v>OK</v>
      </c>
      <c r="O32" s="7" t="str">
        <f aca="false">IF(K32&lt;I32,"REORDER NOW",IF(L32&gt;05_Assumptions!$D$31,"REDUCE / HOLD ORDERS","MONITOR"))</f>
        <v>REORDER NOW</v>
      </c>
    </row>
    <row r="33" customFormat="false" ht="15" hidden="false" customHeight="false" outlineLevel="0" collapsed="false">
      <c r="A33" s="7" t="str">
        <f aca="false">02_SKU_Master!A33</f>
        <v>S005-P0020</v>
      </c>
      <c r="B33" s="7" t="str">
        <f aca="false">02_SKU_Master!D33</f>
        <v>Toys</v>
      </c>
      <c r="C33" s="19" t="n">
        <f aca="false">02_SKU_Master!F33</f>
        <v>138.7</v>
      </c>
      <c r="D33" s="19" t="n">
        <f aca="false">02_SKU_Master!G33</f>
        <v>111.1</v>
      </c>
      <c r="E33" s="20" t="n">
        <f aca="false">02_SKU_Master!E33</f>
        <v>55.28</v>
      </c>
      <c r="F33" s="7" t="n">
        <f aca="false">IFERROR(INDEX(05_Assumptions!$C$18:$C$22,MATCH(B33,05_Assumptions!$B$18:$B$22,0)),10)</f>
        <v>8</v>
      </c>
      <c r="G33" s="19" t="n">
        <f aca="false">C33*F33</f>
        <v>1109.6</v>
      </c>
      <c r="H33" s="19" t="n">
        <f aca="false">05_Assumptions!$D$13*D33*SQRT(F33)</f>
        <v>516.890503279695</v>
      </c>
      <c r="I33" s="19" t="n">
        <f aca="false">G33+H33</f>
        <v>1626.4905032797</v>
      </c>
      <c r="J33" s="19" t="n">
        <f aca="false">IFERROR(SQRT(2*(C33*365)*05_Assumptions!$D$26/(05_Assumptions!$D$27*E33)),0)</f>
        <v>676.683594754263</v>
      </c>
      <c r="K33" s="19" t="n">
        <f aca="false">02_SKU_Master!K33</f>
        <v>117</v>
      </c>
      <c r="L33" s="19" t="n">
        <f aca="false">IFERROR(K33/C33,0)</f>
        <v>0.843547224224946</v>
      </c>
      <c r="M33" s="7" t="str">
        <f aca="false">IF(K33&lt;I33,"CRITICAL - Below ROP",IF(K33&lt;I33*(1+05_Assumptions!$D$32),"WATCH - Near ROP","OK"))</f>
        <v>CRITICAL - Below ROP</v>
      </c>
      <c r="N33" s="7" t="str">
        <f aca="false">IF(L33&gt;05_Assumptions!$D$31,"OVERSTOCK RISK","OK")</f>
        <v>OK</v>
      </c>
      <c r="O33" s="7" t="str">
        <f aca="false">IF(K33&lt;I33,"REORDER NOW",IF(L33&gt;05_Assumptions!$D$31,"REDUCE / HOLD ORDERS","MONITOR"))</f>
        <v>REORDER NOW</v>
      </c>
    </row>
    <row r="34" customFormat="false" ht="15" hidden="false" customHeight="false" outlineLevel="0" collapsed="false">
      <c r="A34" s="7" t="str">
        <f aca="false">02_SKU_Master!A34</f>
        <v>S005-P0005</v>
      </c>
      <c r="B34" s="7" t="str">
        <f aca="false">02_SKU_Master!D34</f>
        <v>Electronics</v>
      </c>
      <c r="C34" s="19" t="n">
        <f aca="false">02_SKU_Master!F34</f>
        <v>141.9</v>
      </c>
      <c r="D34" s="19" t="n">
        <f aca="false">02_SKU_Master!G34</f>
        <v>105.8</v>
      </c>
      <c r="E34" s="20" t="n">
        <f aca="false">02_SKU_Master!E34</f>
        <v>53.97</v>
      </c>
      <c r="F34" s="7" t="n">
        <f aca="false">IFERROR(INDEX(05_Assumptions!$C$18:$C$22,MATCH(B34,05_Assumptions!$B$18:$B$22,0)),10)</f>
        <v>10</v>
      </c>
      <c r="G34" s="19" t="n">
        <f aca="false">C34*F34</f>
        <v>1419</v>
      </c>
      <c r="H34" s="19" t="n">
        <f aca="false">05_Assumptions!$D$13*D34*SQRT(F34)</f>
        <v>550.33250935572</v>
      </c>
      <c r="I34" s="19" t="n">
        <f aca="false">G34+H34</f>
        <v>1969.33250935572</v>
      </c>
      <c r="J34" s="19" t="n">
        <f aca="false">IFERROR(SQRT(2*(C34*365)*05_Assumptions!$D$26/(05_Assumptions!$D$27*E34)),0)</f>
        <v>692.701970555243</v>
      </c>
      <c r="K34" s="19" t="n">
        <f aca="false">02_SKU_Master!K34</f>
        <v>372</v>
      </c>
      <c r="L34" s="19" t="n">
        <f aca="false">IFERROR(K34/C34,0)</f>
        <v>2.6215644820296</v>
      </c>
      <c r="M34" s="7" t="str">
        <f aca="false">IF(K34&lt;I34,"CRITICAL - Below ROP",IF(K34&lt;I34*(1+05_Assumptions!$D$32),"WATCH - Near ROP","OK"))</f>
        <v>CRITICAL - Below ROP</v>
      </c>
      <c r="N34" s="7" t="str">
        <f aca="false">IF(L34&gt;05_Assumptions!$D$31,"OVERSTOCK RISK","OK")</f>
        <v>OK</v>
      </c>
      <c r="O34" s="7" t="str">
        <f aca="false">IF(K34&lt;I34,"REORDER NOW",IF(L34&gt;05_Assumptions!$D$31,"REDUCE / HOLD ORDERS","MONITOR"))</f>
        <v>REORDER NOW</v>
      </c>
    </row>
    <row r="35" customFormat="false" ht="15" hidden="false" customHeight="false" outlineLevel="0" collapsed="false">
      <c r="A35" s="7" t="str">
        <f aca="false">02_SKU_Master!A35</f>
        <v>S003-P0020</v>
      </c>
      <c r="B35" s="7" t="str">
        <f aca="false">02_SKU_Master!D35</f>
        <v>Toys</v>
      </c>
      <c r="C35" s="19" t="n">
        <f aca="false">02_SKU_Master!F35</f>
        <v>137.6</v>
      </c>
      <c r="D35" s="19" t="n">
        <f aca="false">02_SKU_Master!G35</f>
        <v>108.5</v>
      </c>
      <c r="E35" s="20" t="n">
        <f aca="false">02_SKU_Master!E35</f>
        <v>55.59</v>
      </c>
      <c r="F35" s="7" t="n">
        <f aca="false">IFERROR(INDEX(05_Assumptions!$C$18:$C$22,MATCH(B35,05_Assumptions!$B$18:$B$22,0)),10)</f>
        <v>8</v>
      </c>
      <c r="G35" s="19" t="n">
        <f aca="false">C35*F35</f>
        <v>1100.8</v>
      </c>
      <c r="H35" s="19" t="n">
        <f aca="false">05_Assumptions!$D$13*D35*SQRT(F35)</f>
        <v>504.794055858208</v>
      </c>
      <c r="I35" s="19" t="n">
        <f aca="false">G35+H35</f>
        <v>1605.59405585821</v>
      </c>
      <c r="J35" s="19" t="n">
        <f aca="false">IFERROR(SQRT(2*(C35*365)*05_Assumptions!$D$26/(05_Assumptions!$D$27*E35)),0)</f>
        <v>672.113028981948</v>
      </c>
      <c r="K35" s="19" t="n">
        <f aca="false">02_SKU_Master!K35</f>
        <v>417</v>
      </c>
      <c r="L35" s="19" t="n">
        <f aca="false">IFERROR(K35/C35,0)</f>
        <v>3.03052325581395</v>
      </c>
      <c r="M35" s="7" t="str">
        <f aca="false">IF(K35&lt;I35,"CRITICAL - Below ROP",IF(K35&lt;I35*(1+05_Assumptions!$D$32),"WATCH - Near ROP","OK"))</f>
        <v>CRITICAL - Below ROP</v>
      </c>
      <c r="N35" s="7" t="str">
        <f aca="false">IF(L35&gt;05_Assumptions!$D$31,"OVERSTOCK RISK","OK")</f>
        <v>OK</v>
      </c>
      <c r="O35" s="7" t="str">
        <f aca="false">IF(K35&lt;I35,"REORDER NOW",IF(L35&gt;05_Assumptions!$D$31,"REDUCE / HOLD ORDERS","MONITOR"))</f>
        <v>REORDER NOW</v>
      </c>
    </row>
    <row r="36" customFormat="false" ht="15" hidden="false" customHeight="false" outlineLevel="0" collapsed="false">
      <c r="A36" s="7" t="str">
        <f aca="false">02_SKU_Master!A36</f>
        <v>S005-P0010</v>
      </c>
      <c r="B36" s="7" t="str">
        <f aca="false">02_SKU_Master!D36</f>
        <v>Groceries</v>
      </c>
      <c r="C36" s="19" t="n">
        <f aca="false">02_SKU_Master!F36</f>
        <v>137.6</v>
      </c>
      <c r="D36" s="19" t="n">
        <f aca="false">02_SKU_Master!G36</f>
        <v>109.5</v>
      </c>
      <c r="E36" s="20" t="n">
        <f aca="false">02_SKU_Master!E36</f>
        <v>55.52</v>
      </c>
      <c r="F36" s="7" t="n">
        <f aca="false">IFERROR(INDEX(05_Assumptions!$C$18:$C$22,MATCH(B36,05_Assumptions!$B$18:$B$22,0)),10)</f>
        <v>3</v>
      </c>
      <c r="G36" s="19" t="n">
        <f aca="false">C36*F36</f>
        <v>412.8</v>
      </c>
      <c r="H36" s="19" t="n">
        <f aca="false">05_Assumptions!$D$13*D36*SQRT(F36)</f>
        <v>311.97101588402</v>
      </c>
      <c r="I36" s="19" t="n">
        <f aca="false">G36+H36</f>
        <v>724.77101588402</v>
      </c>
      <c r="J36" s="19" t="n">
        <f aca="false">IFERROR(SQRT(2*(C36*365)*05_Assumptions!$D$26/(05_Assumptions!$D$27*E36)),0)</f>
        <v>672.536597892132</v>
      </c>
      <c r="K36" s="19" t="n">
        <f aca="false">02_SKU_Master!K36</f>
        <v>308</v>
      </c>
      <c r="L36" s="19" t="n">
        <f aca="false">IFERROR(K36/C36,0)</f>
        <v>2.23837209302326</v>
      </c>
      <c r="M36" s="7" t="str">
        <f aca="false">IF(K36&lt;I36,"CRITICAL - Below ROP",IF(K36&lt;I36*(1+05_Assumptions!$D$32),"WATCH - Near ROP","OK"))</f>
        <v>CRITICAL - Below ROP</v>
      </c>
      <c r="N36" s="7" t="str">
        <f aca="false">IF(L36&gt;05_Assumptions!$D$31,"OVERSTOCK RISK","OK")</f>
        <v>OK</v>
      </c>
      <c r="O36" s="7" t="str">
        <f aca="false">IF(K36&lt;I36,"REORDER NOW",IF(L36&gt;05_Assumptions!$D$31,"REDUCE / HOLD ORDERS","MONITOR"))</f>
        <v>REORDER NOW</v>
      </c>
    </row>
    <row r="37" customFormat="false" ht="15" hidden="false" customHeight="false" outlineLevel="0" collapsed="false">
      <c r="A37" s="7" t="str">
        <f aca="false">02_SKU_Master!A37</f>
        <v>S005-P0012</v>
      </c>
      <c r="B37" s="7" t="str">
        <f aca="false">02_SKU_Master!D37</f>
        <v>Clothing</v>
      </c>
      <c r="C37" s="19" t="n">
        <f aca="false">02_SKU_Master!F37</f>
        <v>134.7</v>
      </c>
      <c r="D37" s="19" t="n">
        <f aca="false">02_SKU_Master!G37</f>
        <v>108.4</v>
      </c>
      <c r="E37" s="20" t="n">
        <f aca="false">02_SKU_Master!E37</f>
        <v>56.71</v>
      </c>
      <c r="F37" s="7" t="n">
        <f aca="false">IFERROR(INDEX(05_Assumptions!$C$18:$C$22,MATCH(B37,05_Assumptions!$B$18:$B$22,0)),10)</f>
        <v>7</v>
      </c>
      <c r="G37" s="19" t="n">
        <f aca="false">C37*F37</f>
        <v>942.9</v>
      </c>
      <c r="H37" s="19" t="n">
        <f aca="false">05_Assumptions!$D$13*D37*SQRT(F37)</f>
        <v>471.756402342204</v>
      </c>
      <c r="I37" s="19" t="n">
        <f aca="false">G37+H37</f>
        <v>1414.6564023422</v>
      </c>
      <c r="J37" s="19" t="n">
        <f aca="false">IFERROR(SQRT(2*(C37*365)*05_Assumptions!$D$26/(05_Assumptions!$D$27*E37)),0)</f>
        <v>658.393308935148</v>
      </c>
      <c r="K37" s="19" t="n">
        <f aca="false">02_SKU_Master!K37</f>
        <v>495</v>
      </c>
      <c r="L37" s="19" t="n">
        <f aca="false">IFERROR(K37/C37,0)</f>
        <v>3.67483296213809</v>
      </c>
      <c r="M37" s="7" t="str">
        <f aca="false">IF(K37&lt;I37,"CRITICAL - Below ROP",IF(K37&lt;I37*(1+05_Assumptions!$D$32),"WATCH - Near ROP","OK"))</f>
        <v>CRITICAL - Below ROP</v>
      </c>
      <c r="N37" s="7" t="str">
        <f aca="false">IF(L37&gt;05_Assumptions!$D$31,"OVERSTOCK RISK","OK")</f>
        <v>OK</v>
      </c>
      <c r="O37" s="7" t="str">
        <f aca="false">IF(K37&lt;I37,"REORDER NOW",IF(L37&gt;05_Assumptions!$D$31,"REDUCE / HOLD ORDERS","MONITOR"))</f>
        <v>REORDER NOW</v>
      </c>
    </row>
    <row r="38" customFormat="false" ht="15" hidden="false" customHeight="false" outlineLevel="0" collapsed="false">
      <c r="A38" s="7" t="str">
        <f aca="false">02_SKU_Master!A38</f>
        <v>S002-P0018</v>
      </c>
      <c r="B38" s="7" t="str">
        <f aca="false">02_SKU_Master!D38</f>
        <v>Clothing</v>
      </c>
      <c r="C38" s="19" t="n">
        <f aca="false">02_SKU_Master!F38</f>
        <v>140.2</v>
      </c>
      <c r="D38" s="19" t="n">
        <f aca="false">02_SKU_Master!G38</f>
        <v>111.5</v>
      </c>
      <c r="E38" s="20" t="n">
        <f aca="false">02_SKU_Master!E38</f>
        <v>54.41</v>
      </c>
      <c r="F38" s="7" t="n">
        <f aca="false">IFERROR(INDEX(05_Assumptions!$C$18:$C$22,MATCH(B38,05_Assumptions!$B$18:$B$22,0)),10)</f>
        <v>7</v>
      </c>
      <c r="G38" s="19" t="n">
        <f aca="false">C38*F38</f>
        <v>981.4</v>
      </c>
      <c r="H38" s="19" t="n">
        <f aca="false">05_Assumptions!$D$13*D38*SQRT(F38)</f>
        <v>485.247590970071</v>
      </c>
      <c r="I38" s="19" t="n">
        <f aca="false">G38+H38</f>
        <v>1466.64759097007</v>
      </c>
      <c r="J38" s="19" t="n">
        <f aca="false">IFERROR(SQRT(2*(C38*365)*05_Assumptions!$D$26/(05_Assumptions!$D$27*E38)),0)</f>
        <v>685.750413669182</v>
      </c>
      <c r="K38" s="19" t="n">
        <f aca="false">02_SKU_Master!K38</f>
        <v>151</v>
      </c>
      <c r="L38" s="19" t="n">
        <f aca="false">IFERROR(K38/C38,0)</f>
        <v>1.07703281027104</v>
      </c>
      <c r="M38" s="7" t="str">
        <f aca="false">IF(K38&lt;I38,"CRITICAL - Below ROP",IF(K38&lt;I38*(1+05_Assumptions!$D$32),"WATCH - Near ROP","OK"))</f>
        <v>CRITICAL - Below ROP</v>
      </c>
      <c r="N38" s="7" t="str">
        <f aca="false">IF(L38&gt;05_Assumptions!$D$31,"OVERSTOCK RISK","OK")</f>
        <v>OK</v>
      </c>
      <c r="O38" s="7" t="str">
        <f aca="false">IF(K38&lt;I38,"REORDER NOW",IF(L38&gt;05_Assumptions!$D$31,"REDUCE / HOLD ORDERS","MONITOR"))</f>
        <v>REORDER NOW</v>
      </c>
    </row>
    <row r="39" customFormat="false" ht="15" hidden="false" customHeight="false" outlineLevel="0" collapsed="false">
      <c r="A39" s="7" t="str">
        <f aca="false">02_SKU_Master!A39</f>
        <v>S003-P0009</v>
      </c>
      <c r="B39" s="7" t="str">
        <f aca="false">02_SKU_Master!D39</f>
        <v>Electronics</v>
      </c>
      <c r="C39" s="19" t="n">
        <f aca="false">02_SKU_Master!F39</f>
        <v>140.5</v>
      </c>
      <c r="D39" s="19" t="n">
        <f aca="false">02_SKU_Master!G39</f>
        <v>112.7</v>
      </c>
      <c r="E39" s="20" t="n">
        <f aca="false">02_SKU_Master!E39</f>
        <v>54.21</v>
      </c>
      <c r="F39" s="7" t="n">
        <f aca="false">IFERROR(INDEX(05_Assumptions!$C$18:$C$22,MATCH(B39,05_Assumptions!$B$18:$B$22,0)),10)</f>
        <v>10</v>
      </c>
      <c r="G39" s="19" t="n">
        <f aca="false">C39*F39</f>
        <v>1405</v>
      </c>
      <c r="H39" s="19" t="n">
        <f aca="false">05_Assumptions!$D$13*D39*SQRT(F39)</f>
        <v>586.223759965876</v>
      </c>
      <c r="I39" s="19" t="n">
        <f aca="false">G39+H39</f>
        <v>1991.22375996588</v>
      </c>
      <c r="J39" s="19" t="n">
        <f aca="false">IFERROR(SQRT(2*(C39*365)*05_Assumptions!$D$26/(05_Assumptions!$D$27*E39)),0)</f>
        <v>687.748881683945</v>
      </c>
      <c r="K39" s="19" t="n">
        <f aca="false">02_SKU_Master!K39</f>
        <v>496</v>
      </c>
      <c r="L39" s="19" t="n">
        <f aca="false">IFERROR(K39/C39,0)</f>
        <v>3.53024911032029</v>
      </c>
      <c r="M39" s="7" t="str">
        <f aca="false">IF(K39&lt;I39,"CRITICAL - Below ROP",IF(K39&lt;I39*(1+05_Assumptions!$D$32),"WATCH - Near ROP","OK"))</f>
        <v>CRITICAL - Below ROP</v>
      </c>
      <c r="N39" s="7" t="str">
        <f aca="false">IF(L39&gt;05_Assumptions!$D$31,"OVERSTOCK RISK","OK")</f>
        <v>OK</v>
      </c>
      <c r="O39" s="7" t="str">
        <f aca="false">IF(K39&lt;I39,"REORDER NOW",IF(L39&gt;05_Assumptions!$D$31,"REDUCE / HOLD ORDERS","MONITOR"))</f>
        <v>REORDER NOW</v>
      </c>
    </row>
    <row r="40" customFormat="false" ht="15" hidden="false" customHeight="false" outlineLevel="0" collapsed="false">
      <c r="A40" s="7" t="str">
        <f aca="false">02_SKU_Master!A40</f>
        <v>S001-P0014</v>
      </c>
      <c r="B40" s="7" t="str">
        <f aca="false">02_SKU_Master!D40</f>
        <v>Clothing</v>
      </c>
      <c r="C40" s="19" t="n">
        <f aca="false">02_SKU_Master!F40</f>
        <v>136.6</v>
      </c>
      <c r="D40" s="19" t="n">
        <f aca="false">02_SKU_Master!G40</f>
        <v>110.7</v>
      </c>
      <c r="E40" s="20" t="n">
        <f aca="false">02_SKU_Master!E40</f>
        <v>55.52</v>
      </c>
      <c r="F40" s="7" t="n">
        <f aca="false">IFERROR(INDEX(05_Assumptions!$C$18:$C$22,MATCH(B40,05_Assumptions!$B$18:$B$22,0)),10)</f>
        <v>7</v>
      </c>
      <c r="G40" s="19" t="n">
        <f aca="false">C40*F40</f>
        <v>956.2</v>
      </c>
      <c r="H40" s="19" t="n">
        <f aca="false">05_Assumptions!$D$13*D40*SQRT(F40)</f>
        <v>481.765993904815</v>
      </c>
      <c r="I40" s="19" t="n">
        <f aca="false">G40+H40</f>
        <v>1437.96599390482</v>
      </c>
      <c r="J40" s="19" t="n">
        <f aca="false">IFERROR(SQRT(2*(C40*365)*05_Assumptions!$D$26/(05_Assumptions!$D$27*E40)),0)</f>
        <v>670.088331310078</v>
      </c>
      <c r="K40" s="19" t="n">
        <f aca="false">02_SKU_Master!K40</f>
        <v>293</v>
      </c>
      <c r="L40" s="19" t="n">
        <f aca="false">IFERROR(K40/C40,0)</f>
        <v>2.14494875549048</v>
      </c>
      <c r="M40" s="7" t="str">
        <f aca="false">IF(K40&lt;I40,"CRITICAL - Below ROP",IF(K40&lt;I40*(1+05_Assumptions!$D$32),"WATCH - Near ROP","OK"))</f>
        <v>CRITICAL - Below ROP</v>
      </c>
      <c r="N40" s="7" t="str">
        <f aca="false">IF(L40&gt;05_Assumptions!$D$31,"OVERSTOCK RISK","OK")</f>
        <v>OK</v>
      </c>
      <c r="O40" s="7" t="str">
        <f aca="false">IF(K40&lt;I40,"REORDER NOW",IF(L40&gt;05_Assumptions!$D$31,"REDUCE / HOLD ORDERS","MONITOR"))</f>
        <v>REORDER NOW</v>
      </c>
    </row>
    <row r="41" customFormat="false" ht="15" hidden="false" customHeight="false" outlineLevel="0" collapsed="false">
      <c r="A41" s="7" t="str">
        <f aca="false">02_SKU_Master!A41</f>
        <v>S002-P0004</v>
      </c>
      <c r="B41" s="7" t="str">
        <f aca="false">02_SKU_Master!D41</f>
        <v>Groceries</v>
      </c>
      <c r="C41" s="19" t="n">
        <f aca="false">02_SKU_Master!F41</f>
        <v>138.4</v>
      </c>
      <c r="D41" s="19" t="n">
        <f aca="false">02_SKU_Master!G41</f>
        <v>108.6</v>
      </c>
      <c r="E41" s="20" t="n">
        <f aca="false">02_SKU_Master!E41</f>
        <v>54.79</v>
      </c>
      <c r="F41" s="7" t="n">
        <f aca="false">IFERROR(INDEX(05_Assumptions!$C$18:$C$22,MATCH(B41,05_Assumptions!$B$18:$B$22,0)),10)</f>
        <v>3</v>
      </c>
      <c r="G41" s="19" t="n">
        <f aca="false">C41*F41</f>
        <v>415.2</v>
      </c>
      <c r="H41" s="19" t="n">
        <f aca="false">05_Assumptions!$D$13*D41*SQRT(F41)</f>
        <v>309.406870547987</v>
      </c>
      <c r="I41" s="19" t="n">
        <f aca="false">G41+H41</f>
        <v>724.606870547987</v>
      </c>
      <c r="J41" s="19" t="n">
        <f aca="false">IFERROR(SQRT(2*(C41*365)*05_Assumptions!$D$26/(05_Assumptions!$D$27*E41)),0)</f>
        <v>678.967254154357</v>
      </c>
      <c r="K41" s="19" t="n">
        <f aca="false">02_SKU_Master!K41</f>
        <v>133</v>
      </c>
      <c r="L41" s="19" t="n">
        <f aca="false">IFERROR(K41/C41,0)</f>
        <v>0.960982658959538</v>
      </c>
      <c r="M41" s="7" t="str">
        <f aca="false">IF(K41&lt;I41,"CRITICAL - Below ROP",IF(K41&lt;I41*(1+05_Assumptions!$D$32),"WATCH - Near ROP","OK"))</f>
        <v>CRITICAL - Below ROP</v>
      </c>
      <c r="N41" s="7" t="str">
        <f aca="false">IF(L41&gt;05_Assumptions!$D$31,"OVERSTOCK RISK","OK")</f>
        <v>OK</v>
      </c>
      <c r="O41" s="7" t="str">
        <f aca="false">IF(K41&lt;I41,"REORDER NOW",IF(L41&gt;05_Assumptions!$D$31,"REDUCE / HOLD ORDERS","MONITOR"))</f>
        <v>REORDER NOW</v>
      </c>
    </row>
    <row r="42" customFormat="false" ht="15" hidden="false" customHeight="false" outlineLevel="0" collapsed="false">
      <c r="A42" s="7" t="str">
        <f aca="false">02_SKU_Master!A42</f>
        <v>S003-P0016</v>
      </c>
      <c r="B42" s="7" t="str">
        <f aca="false">02_SKU_Master!D42</f>
        <v>Groceries</v>
      </c>
      <c r="C42" s="19" t="n">
        <f aca="false">02_SKU_Master!F42</f>
        <v>141.8</v>
      </c>
      <c r="D42" s="19" t="n">
        <f aca="false">02_SKU_Master!G42</f>
        <v>111.7</v>
      </c>
      <c r="E42" s="20" t="n">
        <f aca="false">02_SKU_Master!E42</f>
        <v>53.48</v>
      </c>
      <c r="F42" s="7" t="n">
        <f aca="false">IFERROR(INDEX(05_Assumptions!$C$18:$C$22,MATCH(B42,05_Assumptions!$B$18:$B$22,0)),10)</f>
        <v>3</v>
      </c>
      <c r="G42" s="19" t="n">
        <f aca="false">C42*F42</f>
        <v>425.4</v>
      </c>
      <c r="H42" s="19" t="n">
        <f aca="false">05_Assumptions!$D$13*D42*SQRT(F42)</f>
        <v>318.238926705434</v>
      </c>
      <c r="I42" s="19" t="n">
        <f aca="false">G42+H42</f>
        <v>743.638926705434</v>
      </c>
      <c r="J42" s="19" t="n">
        <f aca="false">IFERROR(SQRT(2*(C42*365)*05_Assumptions!$D$26/(05_Assumptions!$D$27*E42)),0)</f>
        <v>695.622867846332</v>
      </c>
      <c r="K42" s="19" t="n">
        <f aca="false">02_SKU_Master!K42</f>
        <v>166</v>
      </c>
      <c r="L42" s="19" t="n">
        <f aca="false">IFERROR(K42/C42,0)</f>
        <v>1.17066290550071</v>
      </c>
      <c r="M42" s="7" t="str">
        <f aca="false">IF(K42&lt;I42,"CRITICAL - Below ROP",IF(K42&lt;I42*(1+05_Assumptions!$D$32),"WATCH - Near ROP","OK"))</f>
        <v>CRITICAL - Below ROP</v>
      </c>
      <c r="N42" s="7" t="str">
        <f aca="false">IF(L42&gt;05_Assumptions!$D$31,"OVERSTOCK RISK","OK")</f>
        <v>OK</v>
      </c>
      <c r="O42" s="7" t="str">
        <f aca="false">IF(K42&lt;I42,"REORDER NOW",IF(L42&gt;05_Assumptions!$D$31,"REDUCE / HOLD ORDERS","MONITOR"))</f>
        <v>REORDER NOW</v>
      </c>
    </row>
    <row r="43" customFormat="false" ht="15" hidden="false" customHeight="false" outlineLevel="0" collapsed="false">
      <c r="A43" s="7" t="str">
        <f aca="false">02_SKU_Master!A43</f>
        <v>S001-P0017</v>
      </c>
      <c r="B43" s="7" t="str">
        <f aca="false">02_SKU_Master!D43</f>
        <v>Furniture</v>
      </c>
      <c r="C43" s="19" t="n">
        <f aca="false">02_SKU_Master!F43</f>
        <v>136.4</v>
      </c>
      <c r="D43" s="19" t="n">
        <f aca="false">02_SKU_Master!G43</f>
        <v>109</v>
      </c>
      <c r="E43" s="20" t="n">
        <f aca="false">02_SKU_Master!E43</f>
        <v>55.53</v>
      </c>
      <c r="F43" s="7" t="n">
        <f aca="false">IFERROR(INDEX(05_Assumptions!$C$18:$C$22,MATCH(B43,05_Assumptions!$B$18:$B$22,0)),10)</f>
        <v>15</v>
      </c>
      <c r="G43" s="19" t="n">
        <f aca="false">C43*F43</f>
        <v>2046</v>
      </c>
      <c r="H43" s="19" t="n">
        <f aca="false">05_Assumptions!$D$13*D43*SQRT(F43)</f>
        <v>694.403063373247</v>
      </c>
      <c r="I43" s="19" t="n">
        <f aca="false">G43+H43</f>
        <v>2740.40306337325</v>
      </c>
      <c r="J43" s="19" t="n">
        <f aca="false">IFERROR(SQRT(2*(C43*365)*05_Assumptions!$D$26/(05_Assumptions!$D$27*E43)),0)</f>
        <v>669.537309562426</v>
      </c>
      <c r="K43" s="19" t="n">
        <f aca="false">02_SKU_Master!K43</f>
        <v>282</v>
      </c>
      <c r="L43" s="19" t="n">
        <f aca="false">IFERROR(K43/C43,0)</f>
        <v>2.06744868035191</v>
      </c>
      <c r="M43" s="7" t="str">
        <f aca="false">IF(K43&lt;I43,"CRITICAL - Below ROP",IF(K43&lt;I43*(1+05_Assumptions!$D$32),"WATCH - Near ROP","OK"))</f>
        <v>CRITICAL - Below ROP</v>
      </c>
      <c r="N43" s="7" t="str">
        <f aca="false">IF(L43&gt;05_Assumptions!$D$31,"OVERSTOCK RISK","OK")</f>
        <v>OK</v>
      </c>
      <c r="O43" s="7" t="str">
        <f aca="false">IF(K43&lt;I43,"REORDER NOW",IF(L43&gt;05_Assumptions!$D$31,"REDUCE / HOLD ORDERS","MONITOR"))</f>
        <v>REORDER NOW</v>
      </c>
    </row>
    <row r="44" customFormat="false" ht="15" hidden="false" customHeight="false" outlineLevel="0" collapsed="false">
      <c r="A44" s="7" t="str">
        <f aca="false">02_SKU_Master!A44</f>
        <v>S004-P0001</v>
      </c>
      <c r="B44" s="7" t="str">
        <f aca="false">02_SKU_Master!D44</f>
        <v>Electronics</v>
      </c>
      <c r="C44" s="19" t="n">
        <f aca="false">02_SKU_Master!F44</f>
        <v>138.5</v>
      </c>
      <c r="D44" s="19" t="n">
        <f aca="false">02_SKU_Master!G44</f>
        <v>111</v>
      </c>
      <c r="E44" s="20" t="n">
        <f aca="false">02_SKU_Master!E44</f>
        <v>54.69</v>
      </c>
      <c r="F44" s="7" t="n">
        <f aca="false">IFERROR(INDEX(05_Assumptions!$C$18:$C$22,MATCH(B44,05_Assumptions!$B$18:$B$22,0)),10)</f>
        <v>10</v>
      </c>
      <c r="G44" s="19" t="n">
        <f aca="false">C44*F44</f>
        <v>1385</v>
      </c>
      <c r="H44" s="19" t="n">
        <f aca="false">05_Assumptions!$D$13*D44*SQRT(F44)</f>
        <v>577.380988076417</v>
      </c>
      <c r="I44" s="19" t="n">
        <f aca="false">G44+H44</f>
        <v>1962.38098807642</v>
      </c>
      <c r="J44" s="19" t="n">
        <f aca="false">IFERROR(SQRT(2*(C44*365)*05_Assumptions!$D$26/(05_Assumptions!$D$27*E44)),0)</f>
        <v>679.833183802101</v>
      </c>
      <c r="K44" s="19" t="n">
        <f aca="false">02_SKU_Master!K44</f>
        <v>497</v>
      </c>
      <c r="L44" s="19" t="n">
        <f aca="false">IFERROR(K44/C44,0)</f>
        <v>3.5884476534296</v>
      </c>
      <c r="M44" s="7" t="str">
        <f aca="false">IF(K44&lt;I44,"CRITICAL - Below ROP",IF(K44&lt;I44*(1+05_Assumptions!$D$32),"WATCH - Near ROP","OK"))</f>
        <v>CRITICAL - Below ROP</v>
      </c>
      <c r="N44" s="7" t="str">
        <f aca="false">IF(L44&gt;05_Assumptions!$D$31,"OVERSTOCK RISK","OK")</f>
        <v>OK</v>
      </c>
      <c r="O44" s="7" t="str">
        <f aca="false">IF(K44&lt;I44,"REORDER NOW",IF(L44&gt;05_Assumptions!$D$31,"REDUCE / HOLD ORDERS","MONITOR"))</f>
        <v>REORDER NOW</v>
      </c>
    </row>
    <row r="45" customFormat="false" ht="15" hidden="false" customHeight="false" outlineLevel="0" collapsed="false">
      <c r="A45" s="7" t="str">
        <f aca="false">02_SKU_Master!A45</f>
        <v>S001-P0008</v>
      </c>
      <c r="B45" s="7" t="str">
        <f aca="false">02_SKU_Master!D45</f>
        <v>Furniture</v>
      </c>
      <c r="C45" s="19" t="n">
        <f aca="false">02_SKU_Master!F45</f>
        <v>137.1</v>
      </c>
      <c r="D45" s="19" t="n">
        <f aca="false">02_SKU_Master!G45</f>
        <v>108.7</v>
      </c>
      <c r="E45" s="20" t="n">
        <f aca="false">02_SKU_Master!E45</f>
        <v>55.13</v>
      </c>
      <c r="F45" s="7" t="n">
        <f aca="false">IFERROR(INDEX(05_Assumptions!$C$18:$C$22,MATCH(B45,05_Assumptions!$B$18:$B$22,0)),10)</f>
        <v>15</v>
      </c>
      <c r="G45" s="19" t="n">
        <f aca="false">C45*F45</f>
        <v>2056.5</v>
      </c>
      <c r="H45" s="19" t="n">
        <f aca="false">05_Assumptions!$D$13*D45*SQRT(F45)</f>
        <v>692.491862281394</v>
      </c>
      <c r="I45" s="19" t="n">
        <f aca="false">G45+H45</f>
        <v>2748.99186228139</v>
      </c>
      <c r="J45" s="19" t="n">
        <f aca="false">IFERROR(SQRT(2*(C45*365)*05_Assumptions!$D$26/(05_Assumptions!$D$27*E45)),0)</f>
        <v>673.683895406835</v>
      </c>
      <c r="K45" s="19" t="n">
        <f aca="false">02_SKU_Master!K45</f>
        <v>315</v>
      </c>
      <c r="L45" s="19" t="n">
        <f aca="false">IFERROR(K45/C45,0)</f>
        <v>2.29759299781182</v>
      </c>
      <c r="M45" s="7" t="str">
        <f aca="false">IF(K45&lt;I45,"CRITICAL - Below ROP",IF(K45&lt;I45*(1+05_Assumptions!$D$32),"WATCH - Near ROP","OK"))</f>
        <v>CRITICAL - Below ROP</v>
      </c>
      <c r="N45" s="7" t="str">
        <f aca="false">IF(L45&gt;05_Assumptions!$D$31,"OVERSTOCK RISK","OK")</f>
        <v>OK</v>
      </c>
      <c r="O45" s="7" t="str">
        <f aca="false">IF(K45&lt;I45,"REORDER NOW",IF(L45&gt;05_Assumptions!$D$31,"REDUCE / HOLD ORDERS","MONITOR"))</f>
        <v>REORDER NOW</v>
      </c>
    </row>
    <row r="46" customFormat="false" ht="15" hidden="false" customHeight="false" outlineLevel="0" collapsed="false">
      <c r="A46" s="7" t="str">
        <f aca="false">02_SKU_Master!A46</f>
        <v>S001-P0001</v>
      </c>
      <c r="B46" s="7" t="str">
        <f aca="false">02_SKU_Master!D46</f>
        <v>Groceries</v>
      </c>
      <c r="C46" s="19" t="n">
        <f aca="false">02_SKU_Master!F46</f>
        <v>137.3</v>
      </c>
      <c r="D46" s="19" t="n">
        <f aca="false">02_SKU_Master!G46</f>
        <v>108.2</v>
      </c>
      <c r="E46" s="20" t="n">
        <f aca="false">02_SKU_Master!E46</f>
        <v>55.06</v>
      </c>
      <c r="F46" s="7" t="n">
        <f aca="false">IFERROR(INDEX(05_Assumptions!$C$18:$C$22,MATCH(B46,05_Assumptions!$B$18:$B$22,0)),10)</f>
        <v>3</v>
      </c>
      <c r="G46" s="19" t="n">
        <f aca="false">C46*F46</f>
        <v>411.9</v>
      </c>
      <c r="H46" s="19" t="n">
        <f aca="false">05_Assumptions!$D$13*D46*SQRT(F46)</f>
        <v>308.267250398639</v>
      </c>
      <c r="I46" s="19" t="n">
        <f aca="false">G46+H46</f>
        <v>720.167250398639</v>
      </c>
      <c r="J46" s="19" t="n">
        <f aca="false">IFERROR(SQRT(2*(C46*365)*05_Assumptions!$D$26/(05_Assumptions!$D$27*E46)),0)</f>
        <v>674.603514610747</v>
      </c>
      <c r="K46" s="19" t="n">
        <f aca="false">02_SKU_Master!K46</f>
        <v>223</v>
      </c>
      <c r="L46" s="19" t="n">
        <f aca="false">IFERROR(K46/C46,0)</f>
        <v>1.62418062636562</v>
      </c>
      <c r="M46" s="7" t="str">
        <f aca="false">IF(K46&lt;I46,"CRITICAL - Below ROP",IF(K46&lt;I46*(1+05_Assumptions!$D$32),"WATCH - Near ROP","OK"))</f>
        <v>CRITICAL - Below ROP</v>
      </c>
      <c r="N46" s="7" t="str">
        <f aca="false">IF(L46&gt;05_Assumptions!$D$31,"OVERSTOCK RISK","OK")</f>
        <v>OK</v>
      </c>
      <c r="O46" s="7" t="str">
        <f aca="false">IF(K46&lt;I46,"REORDER NOW",IF(L46&gt;05_Assumptions!$D$31,"REDUCE / HOLD ORDERS","MONITOR"))</f>
        <v>REORDER NOW</v>
      </c>
    </row>
    <row r="47" customFormat="false" ht="15" hidden="false" customHeight="false" outlineLevel="0" collapsed="false">
      <c r="A47" s="7" t="str">
        <f aca="false">02_SKU_Master!A47</f>
        <v>S005-P0019</v>
      </c>
      <c r="B47" s="7" t="str">
        <f aca="false">02_SKU_Master!D47</f>
        <v>Furniture</v>
      </c>
      <c r="C47" s="19" t="n">
        <f aca="false">02_SKU_Master!F47</f>
        <v>135.1</v>
      </c>
      <c r="D47" s="19" t="n">
        <f aca="false">02_SKU_Master!G47</f>
        <v>108.7</v>
      </c>
      <c r="E47" s="20" t="n">
        <f aca="false">02_SKU_Master!E47</f>
        <v>55.97</v>
      </c>
      <c r="F47" s="7" t="n">
        <f aca="false">IFERROR(INDEX(05_Assumptions!$C$18:$C$22,MATCH(B47,05_Assumptions!$B$18:$B$22,0)),10)</f>
        <v>15</v>
      </c>
      <c r="G47" s="19" t="n">
        <f aca="false">C47*F47</f>
        <v>2026.5</v>
      </c>
      <c r="H47" s="19" t="n">
        <f aca="false">05_Assumptions!$D$13*D47*SQRT(F47)</f>
        <v>692.491862281394</v>
      </c>
      <c r="I47" s="19" t="n">
        <f aca="false">G47+H47</f>
        <v>2718.99186228139</v>
      </c>
      <c r="J47" s="19" t="n">
        <f aca="false">IFERROR(SQRT(2*(C47*365)*05_Assumptions!$D$26/(05_Assumptions!$D$27*E47)),0)</f>
        <v>663.714728915451</v>
      </c>
      <c r="K47" s="19" t="n">
        <f aca="false">02_SKU_Master!K47</f>
        <v>374</v>
      </c>
      <c r="L47" s="19" t="n">
        <f aca="false">IFERROR(K47/C47,0)</f>
        <v>2.76831976313842</v>
      </c>
      <c r="M47" s="7" t="str">
        <f aca="false">IF(K47&lt;I47,"CRITICAL - Below ROP",IF(K47&lt;I47*(1+05_Assumptions!$D$32),"WATCH - Near ROP","OK"))</f>
        <v>CRITICAL - Below ROP</v>
      </c>
      <c r="N47" s="7" t="str">
        <f aca="false">IF(L47&gt;05_Assumptions!$D$31,"OVERSTOCK RISK","OK")</f>
        <v>OK</v>
      </c>
      <c r="O47" s="7" t="str">
        <f aca="false">IF(K47&lt;I47,"REORDER NOW",IF(L47&gt;05_Assumptions!$D$31,"REDUCE / HOLD ORDERS","MONITOR"))</f>
        <v>REORDER NOW</v>
      </c>
    </row>
    <row r="48" customFormat="false" ht="15" hidden="false" customHeight="false" outlineLevel="0" collapsed="false">
      <c r="A48" s="7" t="str">
        <f aca="false">02_SKU_Master!A48</f>
        <v>S005-P0017</v>
      </c>
      <c r="B48" s="7" t="str">
        <f aca="false">02_SKU_Master!D48</f>
        <v>Groceries</v>
      </c>
      <c r="C48" s="19" t="n">
        <f aca="false">02_SKU_Master!F48</f>
        <v>137.3</v>
      </c>
      <c r="D48" s="19" t="n">
        <f aca="false">02_SKU_Master!G48</f>
        <v>108.6</v>
      </c>
      <c r="E48" s="20" t="n">
        <f aca="false">02_SKU_Master!E48</f>
        <v>55.04</v>
      </c>
      <c r="F48" s="7" t="n">
        <f aca="false">IFERROR(INDEX(05_Assumptions!$C$18:$C$22,MATCH(B48,05_Assumptions!$B$18:$B$22,0)),10)</f>
        <v>3</v>
      </c>
      <c r="G48" s="19" t="n">
        <f aca="false">C48*F48</f>
        <v>411.9</v>
      </c>
      <c r="H48" s="19" t="n">
        <f aca="false">05_Assumptions!$D$13*D48*SQRT(F48)</f>
        <v>309.406870547987</v>
      </c>
      <c r="I48" s="19" t="n">
        <f aca="false">G48+H48</f>
        <v>721.306870547987</v>
      </c>
      <c r="J48" s="19" t="n">
        <f aca="false">IFERROR(SQRT(2*(C48*365)*05_Assumptions!$D$26/(05_Assumptions!$D$27*E48)),0)</f>
        <v>674.726069524032</v>
      </c>
      <c r="K48" s="19" t="n">
        <f aca="false">02_SKU_Master!K48</f>
        <v>313</v>
      </c>
      <c r="L48" s="19" t="n">
        <f aca="false">IFERROR(K48/C48,0)</f>
        <v>2.27967953386744</v>
      </c>
      <c r="M48" s="7" t="str">
        <f aca="false">IF(K48&lt;I48,"CRITICAL - Below ROP",IF(K48&lt;I48*(1+05_Assumptions!$D$32),"WATCH - Near ROP","OK"))</f>
        <v>CRITICAL - Below ROP</v>
      </c>
      <c r="N48" s="7" t="str">
        <f aca="false">IF(L48&gt;05_Assumptions!$D$31,"OVERSTOCK RISK","OK")</f>
        <v>OK</v>
      </c>
      <c r="O48" s="7" t="str">
        <f aca="false">IF(K48&lt;I48,"REORDER NOW",IF(L48&gt;05_Assumptions!$D$31,"REDUCE / HOLD ORDERS","MONITOR"))</f>
        <v>REORDER NOW</v>
      </c>
    </row>
    <row r="49" customFormat="false" ht="15" hidden="false" customHeight="false" outlineLevel="0" collapsed="false">
      <c r="A49" s="7" t="str">
        <f aca="false">02_SKU_Master!A49</f>
        <v>S005-P0016</v>
      </c>
      <c r="B49" s="7" t="str">
        <f aca="false">02_SKU_Master!D49</f>
        <v>Groceries</v>
      </c>
      <c r="C49" s="19" t="n">
        <f aca="false">02_SKU_Master!F49</f>
        <v>139.3</v>
      </c>
      <c r="D49" s="19" t="n">
        <f aca="false">02_SKU_Master!G49</f>
        <v>111.6</v>
      </c>
      <c r="E49" s="20" t="n">
        <f aca="false">02_SKU_Master!E49</f>
        <v>54.22</v>
      </c>
      <c r="F49" s="7" t="n">
        <f aca="false">IFERROR(INDEX(05_Assumptions!$C$18:$C$22,MATCH(B49,05_Assumptions!$B$18:$B$22,0)),10)</f>
        <v>3</v>
      </c>
      <c r="G49" s="19" t="n">
        <f aca="false">C49*F49</f>
        <v>417.9</v>
      </c>
      <c r="H49" s="19" t="n">
        <f aca="false">05_Assumptions!$D$13*D49*SQRT(F49)</f>
        <v>317.954021668097</v>
      </c>
      <c r="I49" s="19" t="n">
        <f aca="false">G49+H49</f>
        <v>735.854021668097</v>
      </c>
      <c r="J49" s="19" t="n">
        <f aca="false">IFERROR(SQRT(2*(C49*365)*05_Assumptions!$D$26/(05_Assumptions!$D$27*E49)),0)</f>
        <v>684.742424116345</v>
      </c>
      <c r="K49" s="19" t="n">
        <f aca="false">02_SKU_Master!K49</f>
        <v>96</v>
      </c>
      <c r="L49" s="19" t="n">
        <f aca="false">IFERROR(K49/C49,0)</f>
        <v>0.689160086145011</v>
      </c>
      <c r="M49" s="7" t="str">
        <f aca="false">IF(K49&lt;I49,"CRITICAL - Below ROP",IF(K49&lt;I49*(1+05_Assumptions!$D$32),"WATCH - Near ROP","OK"))</f>
        <v>CRITICAL - Below ROP</v>
      </c>
      <c r="N49" s="7" t="str">
        <f aca="false">IF(L49&gt;05_Assumptions!$D$31,"OVERSTOCK RISK","OK")</f>
        <v>OK</v>
      </c>
      <c r="O49" s="7" t="str">
        <f aca="false">IF(K49&lt;I49,"REORDER NOW",IF(L49&gt;05_Assumptions!$D$31,"REDUCE / HOLD ORDERS","MONITOR"))</f>
        <v>REORDER NOW</v>
      </c>
    </row>
    <row r="50" customFormat="false" ht="15" hidden="false" customHeight="false" outlineLevel="0" collapsed="false">
      <c r="A50" s="7" t="str">
        <f aca="false">02_SKU_Master!A50</f>
        <v>S004-P0008</v>
      </c>
      <c r="B50" s="7" t="str">
        <f aca="false">02_SKU_Master!D50</f>
        <v>Electronics</v>
      </c>
      <c r="C50" s="19" t="n">
        <f aca="false">02_SKU_Master!F50</f>
        <v>134.6</v>
      </c>
      <c r="D50" s="19" t="n">
        <f aca="false">02_SKU_Master!G50</f>
        <v>106.9</v>
      </c>
      <c r="E50" s="20" t="n">
        <f aca="false">02_SKU_Master!E50</f>
        <v>56.1</v>
      </c>
      <c r="F50" s="7" t="n">
        <f aca="false">IFERROR(INDEX(05_Assumptions!$C$18:$C$22,MATCH(B50,05_Assumptions!$B$18:$B$22,0)),10)</f>
        <v>10</v>
      </c>
      <c r="G50" s="19" t="n">
        <f aca="false">C50*F50</f>
        <v>1346</v>
      </c>
      <c r="H50" s="19" t="n">
        <f aca="false">05_Assumptions!$D$13*D50*SQRT(F50)</f>
        <v>556.054302931252</v>
      </c>
      <c r="I50" s="19" t="n">
        <f aca="false">G50+H50</f>
        <v>1902.05430293125</v>
      </c>
      <c r="J50" s="19" t="n">
        <f aca="false">IFERROR(SQRT(2*(C50*365)*05_Assumptions!$D$26/(05_Assumptions!$D$27*E50)),0)</f>
        <v>661.717368083094</v>
      </c>
      <c r="K50" s="19" t="n">
        <f aca="false">02_SKU_Master!K50</f>
        <v>390</v>
      </c>
      <c r="L50" s="19" t="n">
        <f aca="false">IFERROR(K50/C50,0)</f>
        <v>2.89747399702823</v>
      </c>
      <c r="M50" s="7" t="str">
        <f aca="false">IF(K50&lt;I50,"CRITICAL - Below ROP",IF(K50&lt;I50*(1+05_Assumptions!$D$32),"WATCH - Near ROP","OK"))</f>
        <v>CRITICAL - Below ROP</v>
      </c>
      <c r="N50" s="7" t="str">
        <f aca="false">IF(L50&gt;05_Assumptions!$D$31,"OVERSTOCK RISK","OK")</f>
        <v>OK</v>
      </c>
      <c r="O50" s="7" t="str">
        <f aca="false">IF(K50&lt;I50,"REORDER NOW",IF(L50&gt;05_Assumptions!$D$31,"REDUCE / HOLD ORDERS","MONITOR"))</f>
        <v>REORDER NOW</v>
      </c>
    </row>
    <row r="51" customFormat="false" ht="15" hidden="false" customHeight="false" outlineLevel="0" collapsed="false">
      <c r="A51" s="7" t="str">
        <f aca="false">02_SKU_Master!A51</f>
        <v>S005-P0007</v>
      </c>
      <c r="B51" s="7" t="str">
        <f aca="false">02_SKU_Master!D51</f>
        <v>Toys</v>
      </c>
      <c r="C51" s="19" t="n">
        <f aca="false">02_SKU_Master!F51</f>
        <v>138.4</v>
      </c>
      <c r="D51" s="19" t="n">
        <f aca="false">02_SKU_Master!G51</f>
        <v>111.9</v>
      </c>
      <c r="E51" s="20" t="n">
        <f aca="false">02_SKU_Master!E51</f>
        <v>54.5</v>
      </c>
      <c r="F51" s="7" t="n">
        <f aca="false">IFERROR(INDEX(05_Assumptions!$C$18:$C$22,MATCH(B51,05_Assumptions!$B$18:$B$22,0)),10)</f>
        <v>8</v>
      </c>
      <c r="G51" s="19" t="n">
        <f aca="false">C51*F51</f>
        <v>1107.2</v>
      </c>
      <c r="H51" s="19" t="n">
        <f aca="false">05_Assumptions!$D$13*D51*SQRT(F51)</f>
        <v>520.612487101692</v>
      </c>
      <c r="I51" s="19" t="n">
        <f aca="false">G51+H51</f>
        <v>1627.81248710169</v>
      </c>
      <c r="J51" s="19" t="n">
        <f aca="false">IFERROR(SQRT(2*(C51*365)*05_Assumptions!$D$26/(05_Assumptions!$D$27*E51)),0)</f>
        <v>680.771284121476</v>
      </c>
      <c r="K51" s="19" t="n">
        <f aca="false">02_SKU_Master!K51</f>
        <v>59</v>
      </c>
      <c r="L51" s="19" t="n">
        <f aca="false">IFERROR(K51/C51,0)</f>
        <v>0.426300578034682</v>
      </c>
      <c r="M51" s="7" t="str">
        <f aca="false">IF(K51&lt;I51,"CRITICAL - Below ROP",IF(K51&lt;I51*(1+05_Assumptions!$D$32),"WATCH - Near ROP","OK"))</f>
        <v>CRITICAL - Below ROP</v>
      </c>
      <c r="N51" s="7" t="str">
        <f aca="false">IF(L51&gt;05_Assumptions!$D$31,"OVERSTOCK RISK","OK")</f>
        <v>OK</v>
      </c>
      <c r="O51" s="7" t="str">
        <f aca="false">IF(K51&lt;I51,"REORDER NOW",IF(L51&gt;05_Assumptions!$D$31,"REDUCE / HOLD ORDERS","MONITOR"))</f>
        <v>REORDER NOW</v>
      </c>
    </row>
    <row r="52" customFormat="false" ht="15" hidden="false" customHeight="false" outlineLevel="0" collapsed="false">
      <c r="A52" s="7" t="str">
        <f aca="false">02_SKU_Master!A52</f>
        <v>S005-P0009</v>
      </c>
      <c r="B52" s="7" t="str">
        <f aca="false">02_SKU_Master!D52</f>
        <v>Clothing</v>
      </c>
      <c r="C52" s="19" t="n">
        <f aca="false">02_SKU_Master!F52</f>
        <v>136.2</v>
      </c>
      <c r="D52" s="19" t="n">
        <f aca="false">02_SKU_Master!G52</f>
        <v>107.8</v>
      </c>
      <c r="E52" s="20" t="n">
        <f aca="false">02_SKU_Master!E52</f>
        <v>55.37</v>
      </c>
      <c r="F52" s="7" t="n">
        <f aca="false">IFERROR(INDEX(05_Assumptions!$C$18:$C$22,MATCH(B52,05_Assumptions!$B$18:$B$22,0)),10)</f>
        <v>7</v>
      </c>
      <c r="G52" s="19" t="n">
        <f aca="false">C52*F52</f>
        <v>953.4</v>
      </c>
      <c r="H52" s="19" t="n">
        <f aca="false">05_Assumptions!$D$13*D52*SQRT(F52)</f>
        <v>469.145204543262</v>
      </c>
      <c r="I52" s="19" t="n">
        <f aca="false">G52+H52</f>
        <v>1422.54520454326</v>
      </c>
      <c r="J52" s="19" t="n">
        <f aca="false">IFERROR(SQRT(2*(C52*365)*05_Assumptions!$D$26/(05_Assumptions!$D$27*E52)),0)</f>
        <v>670.012224300107</v>
      </c>
      <c r="K52" s="19" t="n">
        <f aca="false">02_SKU_Master!K52</f>
        <v>319</v>
      </c>
      <c r="L52" s="19" t="n">
        <f aca="false">IFERROR(K52/C52,0)</f>
        <v>2.34214390602056</v>
      </c>
      <c r="M52" s="7" t="str">
        <f aca="false">IF(K52&lt;I52,"CRITICAL - Below ROP",IF(K52&lt;I52*(1+05_Assumptions!$D$32),"WATCH - Near ROP","OK"))</f>
        <v>CRITICAL - Below ROP</v>
      </c>
      <c r="N52" s="7" t="str">
        <f aca="false">IF(L52&gt;05_Assumptions!$D$31,"OVERSTOCK RISK","OK")</f>
        <v>OK</v>
      </c>
      <c r="O52" s="7" t="str">
        <f aca="false">IF(K52&lt;I52,"REORDER NOW",IF(L52&gt;05_Assumptions!$D$31,"REDUCE / HOLD ORDERS","MONITOR"))</f>
        <v>REORDER NOW</v>
      </c>
    </row>
    <row r="53" customFormat="false" ht="15" hidden="false" customHeight="false" outlineLevel="0" collapsed="false">
      <c r="A53" s="7" t="str">
        <f aca="false">02_SKU_Master!A53</f>
        <v>S001-P0007</v>
      </c>
      <c r="B53" s="7" t="str">
        <f aca="false">02_SKU_Master!D53</f>
        <v>Electronics</v>
      </c>
      <c r="C53" s="19" t="n">
        <f aca="false">02_SKU_Master!F53</f>
        <v>137.8</v>
      </c>
      <c r="D53" s="19" t="n">
        <f aca="false">02_SKU_Master!G53</f>
        <v>111.2</v>
      </c>
      <c r="E53" s="20" t="n">
        <f aca="false">02_SKU_Master!E53</f>
        <v>54.7</v>
      </c>
      <c r="F53" s="7" t="n">
        <f aca="false">IFERROR(INDEX(05_Assumptions!$C$18:$C$22,MATCH(B53,05_Assumptions!$B$18:$B$22,0)),10)</f>
        <v>10</v>
      </c>
      <c r="G53" s="19" t="n">
        <f aca="false">C53*F53</f>
        <v>1378</v>
      </c>
      <c r="H53" s="19" t="n">
        <f aca="false">05_Assumptions!$D$13*D53*SQRT(F53)</f>
        <v>578.42131418106</v>
      </c>
      <c r="I53" s="19" t="n">
        <f aca="false">G53+H53</f>
        <v>1956.42131418106</v>
      </c>
      <c r="J53" s="19" t="n">
        <f aca="false">IFERROR(SQRT(2*(C53*365)*05_Assumptions!$D$26/(05_Assumptions!$D$27*E53)),0)</f>
        <v>678.051029988701</v>
      </c>
      <c r="K53" s="19" t="n">
        <f aca="false">02_SKU_Master!K53</f>
        <v>256</v>
      </c>
      <c r="L53" s="19" t="n">
        <f aca="false">IFERROR(K53/C53,0)</f>
        <v>1.8577648766328</v>
      </c>
      <c r="M53" s="7" t="str">
        <f aca="false">IF(K53&lt;I53,"CRITICAL - Below ROP",IF(K53&lt;I53*(1+05_Assumptions!$D$32),"WATCH - Near ROP","OK"))</f>
        <v>CRITICAL - Below ROP</v>
      </c>
      <c r="N53" s="7" t="str">
        <f aca="false">IF(L53&gt;05_Assumptions!$D$31,"OVERSTOCK RISK","OK")</f>
        <v>OK</v>
      </c>
      <c r="O53" s="7" t="str">
        <f aca="false">IF(K53&lt;I53,"REORDER NOW",IF(L53&gt;05_Assumptions!$D$31,"REDUCE / HOLD ORDERS","MONITOR"))</f>
        <v>REORDER NOW</v>
      </c>
    </row>
    <row r="54" customFormat="false" ht="15" hidden="false" customHeight="false" outlineLevel="0" collapsed="false">
      <c r="A54" s="7" t="str">
        <f aca="false">02_SKU_Master!A54</f>
        <v>S004-P0010</v>
      </c>
      <c r="B54" s="7" t="str">
        <f aca="false">02_SKU_Master!D54</f>
        <v>Toys</v>
      </c>
      <c r="C54" s="19" t="n">
        <f aca="false">02_SKU_Master!F54</f>
        <v>137.8</v>
      </c>
      <c r="D54" s="19" t="n">
        <f aca="false">02_SKU_Master!G54</f>
        <v>111.1</v>
      </c>
      <c r="E54" s="20" t="n">
        <f aca="false">02_SKU_Master!E54</f>
        <v>54.7</v>
      </c>
      <c r="F54" s="7" t="n">
        <f aca="false">IFERROR(INDEX(05_Assumptions!$C$18:$C$22,MATCH(B54,05_Assumptions!$B$18:$B$22,0)),10)</f>
        <v>8</v>
      </c>
      <c r="G54" s="19" t="n">
        <f aca="false">C54*F54</f>
        <v>1102.4</v>
      </c>
      <c r="H54" s="19" t="n">
        <f aca="false">05_Assumptions!$D$13*D54*SQRT(F54)</f>
        <v>516.890503279695</v>
      </c>
      <c r="I54" s="19" t="n">
        <f aca="false">G54+H54</f>
        <v>1619.2905032797</v>
      </c>
      <c r="J54" s="19" t="n">
        <f aca="false">IFERROR(SQRT(2*(C54*365)*05_Assumptions!$D$26/(05_Assumptions!$D$27*E54)),0)</f>
        <v>678.051029988701</v>
      </c>
      <c r="K54" s="19" t="n">
        <f aca="false">02_SKU_Master!K54</f>
        <v>382</v>
      </c>
      <c r="L54" s="19" t="n">
        <f aca="false">IFERROR(K54/C54,0)</f>
        <v>2.77213352685051</v>
      </c>
      <c r="M54" s="7" t="str">
        <f aca="false">IF(K54&lt;I54,"CRITICAL - Below ROP",IF(K54&lt;I54*(1+05_Assumptions!$D$32),"WATCH - Near ROP","OK"))</f>
        <v>CRITICAL - Below ROP</v>
      </c>
      <c r="N54" s="7" t="str">
        <f aca="false">IF(L54&gt;05_Assumptions!$D$31,"OVERSTOCK RISK","OK")</f>
        <v>OK</v>
      </c>
      <c r="O54" s="7" t="str">
        <f aca="false">IF(K54&lt;I54,"REORDER NOW",IF(L54&gt;05_Assumptions!$D$31,"REDUCE / HOLD ORDERS","MONITOR"))</f>
        <v>REORDER NOW</v>
      </c>
    </row>
    <row r="55" customFormat="false" ht="15" hidden="false" customHeight="false" outlineLevel="0" collapsed="false">
      <c r="A55" s="7" t="str">
        <f aca="false">02_SKU_Master!A55</f>
        <v>S001-P0015</v>
      </c>
      <c r="B55" s="7" t="str">
        <f aca="false">02_SKU_Master!D55</f>
        <v>Toys</v>
      </c>
      <c r="C55" s="19" t="n">
        <f aca="false">02_SKU_Master!F55</f>
        <v>137.9</v>
      </c>
      <c r="D55" s="19" t="n">
        <f aca="false">02_SKU_Master!G55</f>
        <v>112.8</v>
      </c>
      <c r="E55" s="20" t="n">
        <f aca="false">02_SKU_Master!E55</f>
        <v>54.65</v>
      </c>
      <c r="F55" s="7" t="n">
        <f aca="false">IFERROR(INDEX(05_Assumptions!$C$18:$C$22,MATCH(B55,05_Assumptions!$B$18:$B$22,0)),10)</f>
        <v>8</v>
      </c>
      <c r="G55" s="19" t="n">
        <f aca="false">C55*F55</f>
        <v>1103.2</v>
      </c>
      <c r="H55" s="19" t="n">
        <f aca="false">05_Assumptions!$D$13*D55*SQRT(F55)</f>
        <v>524.799718901437</v>
      </c>
      <c r="I55" s="19" t="n">
        <f aca="false">G55+H55</f>
        <v>1627.99971890144</v>
      </c>
      <c r="J55" s="19" t="n">
        <f aca="false">IFERROR(SQRT(2*(C55*365)*05_Assumptions!$D$26/(05_Assumptions!$D$27*E55)),0)</f>
        <v>678.607233059896</v>
      </c>
      <c r="K55" s="19" t="n">
        <f aca="false">02_SKU_Master!K55</f>
        <v>356</v>
      </c>
      <c r="L55" s="19" t="n">
        <f aca="false">IFERROR(K55/C55,0)</f>
        <v>2.58158085569253</v>
      </c>
      <c r="M55" s="7" t="str">
        <f aca="false">IF(K55&lt;I55,"CRITICAL - Below ROP",IF(K55&lt;I55*(1+05_Assumptions!$D$32),"WATCH - Near ROP","OK"))</f>
        <v>CRITICAL - Below ROP</v>
      </c>
      <c r="N55" s="7" t="str">
        <f aca="false">IF(L55&gt;05_Assumptions!$D$31,"OVERSTOCK RISK","OK")</f>
        <v>OK</v>
      </c>
      <c r="O55" s="7" t="str">
        <f aca="false">IF(K55&lt;I55,"REORDER NOW",IF(L55&gt;05_Assumptions!$D$31,"REDUCE / HOLD ORDERS","MONITOR"))</f>
        <v>REORDER NOW</v>
      </c>
    </row>
    <row r="56" customFormat="false" ht="15" hidden="false" customHeight="false" outlineLevel="0" collapsed="false">
      <c r="A56" s="7" t="str">
        <f aca="false">02_SKU_Master!A56</f>
        <v>S005-P0004</v>
      </c>
      <c r="B56" s="7" t="str">
        <f aca="false">02_SKU_Master!D56</f>
        <v>Toys</v>
      </c>
      <c r="C56" s="19" t="n">
        <f aca="false">02_SKU_Master!F56</f>
        <v>135.2</v>
      </c>
      <c r="D56" s="19" t="n">
        <f aca="false">02_SKU_Master!G56</f>
        <v>111.8</v>
      </c>
      <c r="E56" s="20" t="n">
        <f aca="false">02_SKU_Master!E56</f>
        <v>55.67</v>
      </c>
      <c r="F56" s="7" t="n">
        <f aca="false">IFERROR(INDEX(05_Assumptions!$C$18:$C$22,MATCH(B56,05_Assumptions!$B$18:$B$22,0)),10)</f>
        <v>8</v>
      </c>
      <c r="G56" s="19" t="n">
        <f aca="false">C56*F56</f>
        <v>1081.6</v>
      </c>
      <c r="H56" s="19" t="n">
        <f aca="false">05_Assumptions!$D$13*D56*SQRT(F56)</f>
        <v>520.147239123942</v>
      </c>
      <c r="I56" s="19" t="n">
        <f aca="false">G56+H56</f>
        <v>1601.74723912394</v>
      </c>
      <c r="J56" s="19" t="n">
        <f aca="false">IFERROR(SQRT(2*(C56*365)*05_Assumptions!$D$26/(05_Assumptions!$D$27*E56)),0)</f>
        <v>665.746925583601</v>
      </c>
      <c r="K56" s="19" t="n">
        <f aca="false">02_SKU_Master!K56</f>
        <v>158</v>
      </c>
      <c r="L56" s="19" t="n">
        <f aca="false">IFERROR(K56/C56,0)</f>
        <v>1.16863905325444</v>
      </c>
      <c r="M56" s="7" t="str">
        <f aca="false">IF(K56&lt;I56,"CRITICAL - Below ROP",IF(K56&lt;I56*(1+05_Assumptions!$D$32),"WATCH - Near ROP","OK"))</f>
        <v>CRITICAL - Below ROP</v>
      </c>
      <c r="N56" s="7" t="str">
        <f aca="false">IF(L56&gt;05_Assumptions!$D$31,"OVERSTOCK RISK","OK")</f>
        <v>OK</v>
      </c>
      <c r="O56" s="7" t="str">
        <f aca="false">IF(K56&lt;I56,"REORDER NOW",IF(L56&gt;05_Assumptions!$D$31,"REDUCE / HOLD ORDERS","MONITOR"))</f>
        <v>REORDER NOW</v>
      </c>
    </row>
    <row r="57" customFormat="false" ht="15" hidden="false" customHeight="false" outlineLevel="0" collapsed="false">
      <c r="A57" s="7" t="str">
        <f aca="false">02_SKU_Master!A57</f>
        <v>S002-P0007</v>
      </c>
      <c r="B57" s="7" t="str">
        <f aca="false">02_SKU_Master!D57</f>
        <v>Clothing</v>
      </c>
      <c r="C57" s="19" t="n">
        <f aca="false">02_SKU_Master!F57</f>
        <v>137.6</v>
      </c>
      <c r="D57" s="19" t="n">
        <f aca="false">02_SKU_Master!G57</f>
        <v>112.8</v>
      </c>
      <c r="E57" s="20" t="n">
        <f aca="false">02_SKU_Master!E57</f>
        <v>54.65</v>
      </c>
      <c r="F57" s="7" t="n">
        <f aca="false">IFERROR(INDEX(05_Assumptions!$C$18:$C$22,MATCH(B57,05_Assumptions!$B$18:$B$22,0)),10)</f>
        <v>7</v>
      </c>
      <c r="G57" s="19" t="n">
        <f aca="false">C57*F57</f>
        <v>963.2</v>
      </c>
      <c r="H57" s="19" t="n">
        <f aca="false">05_Assumptions!$D$13*D57*SQRT(F57)</f>
        <v>490.905186201112</v>
      </c>
      <c r="I57" s="19" t="n">
        <f aca="false">G57+H57</f>
        <v>1454.10518620111</v>
      </c>
      <c r="J57" s="19" t="n">
        <f aca="false">IFERROR(SQRT(2*(C57*365)*05_Assumptions!$D$26/(05_Assumptions!$D$27*E57)),0)</f>
        <v>677.868679712407</v>
      </c>
      <c r="K57" s="19" t="n">
        <f aca="false">02_SKU_Master!K57</f>
        <v>53</v>
      </c>
      <c r="L57" s="19" t="n">
        <f aca="false">IFERROR(K57/C57,0)</f>
        <v>0.385174418604651</v>
      </c>
      <c r="M57" s="7" t="str">
        <f aca="false">IF(K57&lt;I57,"CRITICAL - Below ROP",IF(K57&lt;I57*(1+05_Assumptions!$D$32),"WATCH - Near ROP","OK"))</f>
        <v>CRITICAL - Below ROP</v>
      </c>
      <c r="N57" s="7" t="str">
        <f aca="false">IF(L57&gt;05_Assumptions!$D$31,"OVERSTOCK RISK","OK")</f>
        <v>OK</v>
      </c>
      <c r="O57" s="7" t="str">
        <f aca="false">IF(K57&lt;I57,"REORDER NOW",IF(L57&gt;05_Assumptions!$D$31,"REDUCE / HOLD ORDERS","MONITOR"))</f>
        <v>REORDER NOW</v>
      </c>
    </row>
    <row r="58" customFormat="false" ht="15" hidden="false" customHeight="false" outlineLevel="0" collapsed="false">
      <c r="A58" s="7" t="str">
        <f aca="false">02_SKU_Master!A58</f>
        <v>S003-P0015</v>
      </c>
      <c r="B58" s="7" t="str">
        <f aca="false">02_SKU_Master!D58</f>
        <v>Furniture</v>
      </c>
      <c r="C58" s="19" t="n">
        <f aca="false">02_SKU_Master!F58</f>
        <v>138.3</v>
      </c>
      <c r="D58" s="19" t="n">
        <f aca="false">02_SKU_Master!G58</f>
        <v>108</v>
      </c>
      <c r="E58" s="20" t="n">
        <f aca="false">02_SKU_Master!E58</f>
        <v>54.27</v>
      </c>
      <c r="F58" s="7" t="n">
        <f aca="false">IFERROR(INDEX(05_Assumptions!$C$18:$C$22,MATCH(B58,05_Assumptions!$B$18:$B$22,0)),10)</f>
        <v>15</v>
      </c>
      <c r="G58" s="19" t="n">
        <f aca="false">C58*F58</f>
        <v>2074.5</v>
      </c>
      <c r="H58" s="19" t="n">
        <f aca="false">05_Assumptions!$D$13*D58*SQRT(F58)</f>
        <v>688.032393067071</v>
      </c>
      <c r="I58" s="19" t="n">
        <f aca="false">G58+H58</f>
        <v>2762.53239306707</v>
      </c>
      <c r="J58" s="19" t="n">
        <f aca="false">IFERROR(SQRT(2*(C58*365)*05_Assumptions!$D$26/(05_Assumptions!$D$27*E58)),0)</f>
        <v>681.96582819351</v>
      </c>
      <c r="K58" s="19" t="n">
        <f aca="false">02_SKU_Master!K58</f>
        <v>270</v>
      </c>
      <c r="L58" s="19" t="n">
        <f aca="false">IFERROR(K58/C58,0)</f>
        <v>1.95227765726681</v>
      </c>
      <c r="M58" s="7" t="str">
        <f aca="false">IF(K58&lt;I58,"CRITICAL - Below ROP",IF(K58&lt;I58*(1+05_Assumptions!$D$32),"WATCH - Near ROP","OK"))</f>
        <v>CRITICAL - Below ROP</v>
      </c>
      <c r="N58" s="7" t="str">
        <f aca="false">IF(L58&gt;05_Assumptions!$D$31,"OVERSTOCK RISK","OK")</f>
        <v>OK</v>
      </c>
      <c r="O58" s="7" t="str">
        <f aca="false">IF(K58&lt;I58,"REORDER NOW",IF(L58&gt;05_Assumptions!$D$31,"REDUCE / HOLD ORDERS","MONITOR"))</f>
        <v>REORDER NOW</v>
      </c>
    </row>
    <row r="59" customFormat="false" ht="15" hidden="false" customHeight="false" outlineLevel="0" collapsed="false">
      <c r="A59" s="7" t="str">
        <f aca="false">02_SKU_Master!A59</f>
        <v>S003-P0010</v>
      </c>
      <c r="B59" s="7" t="str">
        <f aca="false">02_SKU_Master!D59</f>
        <v>Toys</v>
      </c>
      <c r="C59" s="19" t="n">
        <f aca="false">02_SKU_Master!F59</f>
        <v>136</v>
      </c>
      <c r="D59" s="19" t="n">
        <f aca="false">02_SKU_Master!G59</f>
        <v>109.3</v>
      </c>
      <c r="E59" s="20" t="n">
        <f aca="false">02_SKU_Master!E59</f>
        <v>55.11</v>
      </c>
      <c r="F59" s="7" t="n">
        <f aca="false">IFERROR(INDEX(05_Assumptions!$C$18:$C$22,MATCH(B59,05_Assumptions!$B$18:$B$22,0)),10)</f>
        <v>8</v>
      </c>
      <c r="G59" s="19" t="n">
        <f aca="false">C59*F59</f>
        <v>1088</v>
      </c>
      <c r="H59" s="19" t="n">
        <f aca="false">05_Assumptions!$D$13*D59*SQRT(F59)</f>
        <v>508.516039680204</v>
      </c>
      <c r="I59" s="19" t="n">
        <f aca="false">G59+H59</f>
        <v>1596.5160396802</v>
      </c>
      <c r="J59" s="19" t="n">
        <f aca="false">IFERROR(SQRT(2*(C59*365)*05_Assumptions!$D$26/(05_Assumptions!$D$27*E59)),0)</f>
        <v>671.097595962104</v>
      </c>
      <c r="K59" s="19" t="n">
        <f aca="false">02_SKU_Master!K59</f>
        <v>413</v>
      </c>
      <c r="L59" s="19" t="n">
        <f aca="false">IFERROR(K59/C59,0)</f>
        <v>3.03676470588235</v>
      </c>
      <c r="M59" s="7" t="str">
        <f aca="false">IF(K59&lt;I59,"CRITICAL - Below ROP",IF(K59&lt;I59*(1+05_Assumptions!$D$32),"WATCH - Near ROP","OK"))</f>
        <v>CRITICAL - Below ROP</v>
      </c>
      <c r="N59" s="7" t="str">
        <f aca="false">IF(L59&gt;05_Assumptions!$D$31,"OVERSTOCK RISK","OK")</f>
        <v>OK</v>
      </c>
      <c r="O59" s="7" t="str">
        <f aca="false">IF(K59&lt;I59,"REORDER NOW",IF(L59&gt;05_Assumptions!$D$31,"REDUCE / HOLD ORDERS","MONITOR"))</f>
        <v>REORDER NOW</v>
      </c>
    </row>
    <row r="60" customFormat="false" ht="15" hidden="false" customHeight="false" outlineLevel="0" collapsed="false">
      <c r="A60" s="7" t="str">
        <f aca="false">02_SKU_Master!A60</f>
        <v>S001-P0010</v>
      </c>
      <c r="B60" s="7" t="str">
        <f aca="false">02_SKU_Master!D60</f>
        <v>Toys</v>
      </c>
      <c r="C60" s="19" t="n">
        <f aca="false">02_SKU_Master!F60</f>
        <v>132.4</v>
      </c>
      <c r="D60" s="19" t="n">
        <f aca="false">02_SKU_Master!G60</f>
        <v>105.9</v>
      </c>
      <c r="E60" s="20" t="n">
        <f aca="false">02_SKU_Master!E60</f>
        <v>56.62</v>
      </c>
      <c r="F60" s="7" t="n">
        <f aca="false">IFERROR(INDEX(05_Assumptions!$C$18:$C$22,MATCH(B60,05_Assumptions!$B$18:$B$22,0)),10)</f>
        <v>8</v>
      </c>
      <c r="G60" s="19" t="n">
        <f aca="false">C60*F60</f>
        <v>1059.2</v>
      </c>
      <c r="H60" s="19" t="n">
        <f aca="false">05_Assumptions!$D$13*D60*SQRT(F60)</f>
        <v>492.697608436721</v>
      </c>
      <c r="I60" s="19" t="n">
        <f aca="false">G60+H60</f>
        <v>1551.89760843672</v>
      </c>
      <c r="J60" s="19" t="n">
        <f aca="false">IFERROR(SQRT(2*(C60*365)*05_Assumptions!$D$26/(05_Assumptions!$D$27*E60)),0)</f>
        <v>653.266660381138</v>
      </c>
      <c r="K60" s="19" t="n">
        <f aca="false">02_SKU_Master!K60</f>
        <v>167</v>
      </c>
      <c r="L60" s="19" t="n">
        <f aca="false">IFERROR(K60/C60,0)</f>
        <v>1.26132930513595</v>
      </c>
      <c r="M60" s="7" t="str">
        <f aca="false">IF(K60&lt;I60,"CRITICAL - Below ROP",IF(K60&lt;I60*(1+05_Assumptions!$D$32),"WATCH - Near ROP","OK"))</f>
        <v>CRITICAL - Below ROP</v>
      </c>
      <c r="N60" s="7" t="str">
        <f aca="false">IF(L60&gt;05_Assumptions!$D$31,"OVERSTOCK RISK","OK")</f>
        <v>OK</v>
      </c>
      <c r="O60" s="7" t="str">
        <f aca="false">IF(K60&lt;I60,"REORDER NOW",IF(L60&gt;05_Assumptions!$D$31,"REDUCE / HOLD ORDERS","MONITOR"))</f>
        <v>REORDER NOW</v>
      </c>
    </row>
    <row r="61" customFormat="false" ht="15" hidden="false" customHeight="false" outlineLevel="0" collapsed="false">
      <c r="A61" s="7" t="str">
        <f aca="false">02_SKU_Master!A61</f>
        <v>S004-P0012</v>
      </c>
      <c r="B61" s="7" t="str">
        <f aca="false">02_SKU_Master!D61</f>
        <v>Clothing</v>
      </c>
      <c r="C61" s="19" t="n">
        <f aca="false">02_SKU_Master!F61</f>
        <v>131.8</v>
      </c>
      <c r="D61" s="19" t="n">
        <f aca="false">02_SKU_Master!G61</f>
        <v>104</v>
      </c>
      <c r="E61" s="20" t="n">
        <f aca="false">02_SKU_Master!E61</f>
        <v>56.86</v>
      </c>
      <c r="F61" s="7" t="n">
        <f aca="false">IFERROR(INDEX(05_Assumptions!$C$18:$C$22,MATCH(B61,05_Assumptions!$B$18:$B$22,0)),10)</f>
        <v>7</v>
      </c>
      <c r="G61" s="19" t="n">
        <f aca="false">C61*F61</f>
        <v>922.6</v>
      </c>
      <c r="H61" s="19" t="n">
        <f aca="false">05_Assumptions!$D$13*D61*SQRT(F61)</f>
        <v>452.607618483295</v>
      </c>
      <c r="I61" s="19" t="n">
        <f aca="false">G61+H61</f>
        <v>1375.2076184833</v>
      </c>
      <c r="J61" s="19" t="n">
        <f aca="false">IFERROR(SQRT(2*(C61*365)*05_Assumptions!$D$26/(05_Assumptions!$D$27*E61)),0)</f>
        <v>650.407756516014</v>
      </c>
      <c r="K61" s="19" t="n">
        <f aca="false">02_SKU_Master!K61</f>
        <v>85</v>
      </c>
      <c r="L61" s="19" t="n">
        <f aca="false">IFERROR(K61/C61,0)</f>
        <v>0.644916540212443</v>
      </c>
      <c r="M61" s="7" t="str">
        <f aca="false">IF(K61&lt;I61,"CRITICAL - Below ROP",IF(K61&lt;I61*(1+05_Assumptions!$D$32),"WATCH - Near ROP","OK"))</f>
        <v>CRITICAL - Below ROP</v>
      </c>
      <c r="N61" s="7" t="str">
        <f aca="false">IF(L61&gt;05_Assumptions!$D$31,"OVERSTOCK RISK","OK")</f>
        <v>OK</v>
      </c>
      <c r="O61" s="7" t="str">
        <f aca="false">IF(K61&lt;I61,"REORDER NOW",IF(L61&gt;05_Assumptions!$D$31,"REDUCE / HOLD ORDERS","MONITOR"))</f>
        <v>REORDER NOW</v>
      </c>
    </row>
    <row r="62" customFormat="false" ht="15" hidden="false" customHeight="false" outlineLevel="0" collapsed="false">
      <c r="A62" s="7" t="str">
        <f aca="false">02_SKU_Master!A62</f>
        <v>S005-P0006</v>
      </c>
      <c r="B62" s="7" t="str">
        <f aca="false">02_SKU_Master!D62</f>
        <v>Groceries</v>
      </c>
      <c r="C62" s="19" t="n">
        <f aca="false">02_SKU_Master!F62</f>
        <v>135.3</v>
      </c>
      <c r="D62" s="19" t="n">
        <f aca="false">02_SKU_Master!G62</f>
        <v>107.2</v>
      </c>
      <c r="E62" s="20" t="n">
        <f aca="false">02_SKU_Master!E62</f>
        <v>55.4</v>
      </c>
      <c r="F62" s="7" t="n">
        <f aca="false">IFERROR(INDEX(05_Assumptions!$C$18:$C$22,MATCH(B62,05_Assumptions!$B$18:$B$22,0)),10)</f>
        <v>3</v>
      </c>
      <c r="G62" s="19" t="n">
        <f aca="false">C62*F62</f>
        <v>405.9</v>
      </c>
      <c r="H62" s="19" t="n">
        <f aca="false">05_Assumptions!$D$13*D62*SQRT(F62)</f>
        <v>305.418200025269</v>
      </c>
      <c r="I62" s="19" t="n">
        <f aca="false">G62+H62</f>
        <v>711.318200025269</v>
      </c>
      <c r="J62" s="19" t="n">
        <f aca="false">IFERROR(SQRT(2*(C62*365)*05_Assumptions!$D$26/(05_Assumptions!$D$27*E62)),0)</f>
        <v>667.61402303615</v>
      </c>
      <c r="K62" s="19" t="n">
        <f aca="false">02_SKU_Master!K62</f>
        <v>491</v>
      </c>
      <c r="L62" s="19" t="n">
        <f aca="false">IFERROR(K62/C62,0)</f>
        <v>3.6289726533629</v>
      </c>
      <c r="M62" s="7" t="str">
        <f aca="false">IF(K62&lt;I62,"CRITICAL - Below ROP",IF(K62&lt;I62*(1+05_Assumptions!$D$32),"WATCH - Near ROP","OK"))</f>
        <v>CRITICAL - Below ROP</v>
      </c>
      <c r="N62" s="7" t="str">
        <f aca="false">IF(L62&gt;05_Assumptions!$D$31,"OVERSTOCK RISK","OK")</f>
        <v>OK</v>
      </c>
      <c r="O62" s="7" t="str">
        <f aca="false">IF(K62&lt;I62,"REORDER NOW",IF(L62&gt;05_Assumptions!$D$31,"REDUCE / HOLD ORDERS","MONITOR"))</f>
        <v>REORDER NOW</v>
      </c>
    </row>
    <row r="63" customFormat="false" ht="15" hidden="false" customHeight="false" outlineLevel="0" collapsed="false">
      <c r="A63" s="7" t="str">
        <f aca="false">02_SKU_Master!A63</f>
        <v>S004-P0019</v>
      </c>
      <c r="B63" s="7" t="str">
        <f aca="false">02_SKU_Master!D63</f>
        <v>Toys</v>
      </c>
      <c r="C63" s="19" t="n">
        <f aca="false">02_SKU_Master!F63</f>
        <v>136.5</v>
      </c>
      <c r="D63" s="19" t="n">
        <f aca="false">02_SKU_Master!G63</f>
        <v>110.6</v>
      </c>
      <c r="E63" s="20" t="n">
        <f aca="false">02_SKU_Master!E63</f>
        <v>54.86</v>
      </c>
      <c r="F63" s="7" t="n">
        <f aca="false">IFERROR(INDEX(05_Assumptions!$C$18:$C$22,MATCH(B63,05_Assumptions!$B$18:$B$22,0)),10)</f>
        <v>8</v>
      </c>
      <c r="G63" s="19" t="n">
        <f aca="false">C63*F63</f>
        <v>1092</v>
      </c>
      <c r="H63" s="19" t="n">
        <f aca="false">05_Assumptions!$D$13*D63*SQRT(F63)</f>
        <v>514.564263390948</v>
      </c>
      <c r="I63" s="19" t="n">
        <f aca="false">G63+H63</f>
        <v>1606.56426339095</v>
      </c>
      <c r="J63" s="19" t="n">
        <f aca="false">IFERROR(SQRT(2*(C63*365)*05_Assumptions!$D$26/(05_Assumptions!$D$27*E63)),0)</f>
        <v>673.860280566468</v>
      </c>
      <c r="K63" s="19" t="n">
        <f aca="false">02_SKU_Master!K63</f>
        <v>65</v>
      </c>
      <c r="L63" s="19" t="n">
        <f aca="false">IFERROR(K63/C63,0)</f>
        <v>0.476190476190476</v>
      </c>
      <c r="M63" s="7" t="str">
        <f aca="false">IF(K63&lt;I63,"CRITICAL - Below ROP",IF(K63&lt;I63*(1+05_Assumptions!$D$32),"WATCH - Near ROP","OK"))</f>
        <v>CRITICAL - Below ROP</v>
      </c>
      <c r="N63" s="7" t="str">
        <f aca="false">IF(L63&gt;05_Assumptions!$D$31,"OVERSTOCK RISK","OK")</f>
        <v>OK</v>
      </c>
      <c r="O63" s="7" t="str">
        <f aca="false">IF(K63&lt;I63,"REORDER NOW",IF(L63&gt;05_Assumptions!$D$31,"REDUCE / HOLD ORDERS","MONITOR"))</f>
        <v>REORDER NOW</v>
      </c>
    </row>
    <row r="64" customFormat="false" ht="15" hidden="false" customHeight="false" outlineLevel="0" collapsed="false">
      <c r="A64" s="7" t="str">
        <f aca="false">02_SKU_Master!A64</f>
        <v>S002-P0014</v>
      </c>
      <c r="B64" s="7" t="str">
        <f aca="false">02_SKU_Master!D64</f>
        <v>Electronics</v>
      </c>
      <c r="C64" s="19" t="n">
        <f aca="false">02_SKU_Master!F64</f>
        <v>134.4</v>
      </c>
      <c r="D64" s="19" t="n">
        <f aca="false">02_SKU_Master!G64</f>
        <v>105</v>
      </c>
      <c r="E64" s="20" t="n">
        <f aca="false">02_SKU_Master!E64</f>
        <v>55.68</v>
      </c>
      <c r="F64" s="7" t="n">
        <f aca="false">IFERROR(INDEX(05_Assumptions!$C$18:$C$22,MATCH(B64,05_Assumptions!$B$18:$B$22,0)),10)</f>
        <v>10</v>
      </c>
      <c r="G64" s="19" t="n">
        <f aca="false">C64*F64</f>
        <v>1344</v>
      </c>
      <c r="H64" s="19" t="n">
        <f aca="false">05_Assumptions!$D$13*D64*SQRT(F64)</f>
        <v>546.171204937152</v>
      </c>
      <c r="I64" s="19" t="n">
        <f aca="false">G64+H64</f>
        <v>1890.17120493715</v>
      </c>
      <c r="J64" s="19" t="n">
        <f aca="false">IFERROR(SQRT(2*(C64*365)*05_Assumptions!$D$26/(05_Assumptions!$D$27*E64)),0)</f>
        <v>663.714728915451</v>
      </c>
      <c r="K64" s="19" t="n">
        <f aca="false">02_SKU_Master!K64</f>
        <v>342</v>
      </c>
      <c r="L64" s="19" t="n">
        <f aca="false">IFERROR(K64/C64,0)</f>
        <v>2.54464285714286</v>
      </c>
      <c r="M64" s="7" t="str">
        <f aca="false">IF(K64&lt;I64,"CRITICAL - Below ROP",IF(K64&lt;I64*(1+05_Assumptions!$D$32),"WATCH - Near ROP","OK"))</f>
        <v>CRITICAL - Below ROP</v>
      </c>
      <c r="N64" s="7" t="str">
        <f aca="false">IF(L64&gt;05_Assumptions!$D$31,"OVERSTOCK RISK","OK")</f>
        <v>OK</v>
      </c>
      <c r="O64" s="7" t="str">
        <f aca="false">IF(K64&lt;I64,"REORDER NOW",IF(L64&gt;05_Assumptions!$D$31,"REDUCE / HOLD ORDERS","MONITOR"))</f>
        <v>REORDER NOW</v>
      </c>
    </row>
    <row r="65" customFormat="false" ht="15" hidden="false" customHeight="false" outlineLevel="0" collapsed="false">
      <c r="A65" s="7" t="str">
        <f aca="false">02_SKU_Master!A65</f>
        <v>S003-P0012</v>
      </c>
      <c r="B65" s="7" t="str">
        <f aca="false">02_SKU_Master!D65</f>
        <v>Groceries</v>
      </c>
      <c r="C65" s="19" t="n">
        <f aca="false">02_SKU_Master!F65</f>
        <v>137.5</v>
      </c>
      <c r="D65" s="19" t="n">
        <f aca="false">02_SKU_Master!G65</f>
        <v>111.9</v>
      </c>
      <c r="E65" s="20" t="n">
        <f aca="false">02_SKU_Master!E65</f>
        <v>54.29</v>
      </c>
      <c r="F65" s="7" t="n">
        <f aca="false">IFERROR(INDEX(05_Assumptions!$C$18:$C$22,MATCH(B65,05_Assumptions!$B$18:$B$22,0)),10)</f>
        <v>3</v>
      </c>
      <c r="G65" s="19" t="n">
        <f aca="false">C65*F65</f>
        <v>412.5</v>
      </c>
      <c r="H65" s="19" t="n">
        <f aca="false">05_Assumptions!$D$13*D65*SQRT(F65)</f>
        <v>318.808736780108</v>
      </c>
      <c r="I65" s="19" t="n">
        <f aca="false">G65+H65</f>
        <v>731.308736780108</v>
      </c>
      <c r="J65" s="19" t="n">
        <f aca="false">IFERROR(SQRT(2*(C65*365)*05_Assumptions!$D$26/(05_Assumptions!$D$27*E65)),0)</f>
        <v>679.865279797247</v>
      </c>
      <c r="K65" s="19" t="n">
        <f aca="false">02_SKU_Master!K65</f>
        <v>108</v>
      </c>
      <c r="L65" s="19" t="n">
        <f aca="false">IFERROR(K65/C65,0)</f>
        <v>0.785454545454545</v>
      </c>
      <c r="M65" s="7" t="str">
        <f aca="false">IF(K65&lt;I65,"CRITICAL - Below ROP",IF(K65&lt;I65*(1+05_Assumptions!$D$32),"WATCH - Near ROP","OK"))</f>
        <v>CRITICAL - Below ROP</v>
      </c>
      <c r="N65" s="7" t="str">
        <f aca="false">IF(L65&gt;05_Assumptions!$D$31,"OVERSTOCK RISK","OK")</f>
        <v>OK</v>
      </c>
      <c r="O65" s="7" t="str">
        <f aca="false">IF(K65&lt;I65,"REORDER NOW",IF(L65&gt;05_Assumptions!$D$31,"REDUCE / HOLD ORDERS","MONITOR"))</f>
        <v>REORDER NOW</v>
      </c>
    </row>
    <row r="66" customFormat="false" ht="15" hidden="false" customHeight="false" outlineLevel="0" collapsed="false">
      <c r="A66" s="7" t="str">
        <f aca="false">02_SKU_Master!A66</f>
        <v>S002-P0005</v>
      </c>
      <c r="B66" s="7" t="str">
        <f aca="false">02_SKU_Master!D66</f>
        <v>Groceries</v>
      </c>
      <c r="C66" s="19" t="n">
        <f aca="false">02_SKU_Master!F66</f>
        <v>132.6</v>
      </c>
      <c r="D66" s="19" t="n">
        <f aca="false">02_SKU_Master!G66</f>
        <v>104.4</v>
      </c>
      <c r="E66" s="20" t="n">
        <f aca="false">02_SKU_Master!E66</f>
        <v>56.31</v>
      </c>
      <c r="F66" s="7" t="n">
        <f aca="false">IFERROR(INDEX(05_Assumptions!$C$18:$C$22,MATCH(B66,05_Assumptions!$B$18:$B$22,0)),10)</f>
        <v>3</v>
      </c>
      <c r="G66" s="19" t="n">
        <f aca="false">C66*F66</f>
        <v>397.8</v>
      </c>
      <c r="H66" s="19" t="n">
        <f aca="false">05_Assumptions!$D$13*D66*SQRT(F66)</f>
        <v>297.440858979833</v>
      </c>
      <c r="I66" s="19" t="n">
        <f aca="false">G66+H66</f>
        <v>695.240858979833</v>
      </c>
      <c r="J66" s="19" t="n">
        <f aca="false">IFERROR(SQRT(2*(C66*365)*05_Assumptions!$D$26/(05_Assumptions!$D$27*E66)),0)</f>
        <v>655.556960207668</v>
      </c>
      <c r="K66" s="19" t="n">
        <f aca="false">02_SKU_Master!K66</f>
        <v>464</v>
      </c>
      <c r="L66" s="19" t="n">
        <f aca="false">IFERROR(K66/C66,0)</f>
        <v>3.49924585218703</v>
      </c>
      <c r="M66" s="7" t="str">
        <f aca="false">IF(K66&lt;I66,"CRITICAL - Below ROP",IF(K66&lt;I66*(1+05_Assumptions!$D$32),"WATCH - Near ROP","OK"))</f>
        <v>CRITICAL - Below ROP</v>
      </c>
      <c r="N66" s="7" t="str">
        <f aca="false">IF(L66&gt;05_Assumptions!$D$31,"OVERSTOCK RISK","OK")</f>
        <v>OK</v>
      </c>
      <c r="O66" s="7" t="str">
        <f aca="false">IF(K66&lt;I66,"REORDER NOW",IF(L66&gt;05_Assumptions!$D$31,"REDUCE / HOLD ORDERS","MONITOR"))</f>
        <v>REORDER NOW</v>
      </c>
    </row>
    <row r="67" customFormat="false" ht="15" hidden="false" customHeight="false" outlineLevel="0" collapsed="false">
      <c r="A67" s="7" t="str">
        <f aca="false">02_SKU_Master!A67</f>
        <v>S004-P0009</v>
      </c>
      <c r="B67" s="7" t="str">
        <f aca="false">02_SKU_Master!D67</f>
        <v>Furniture</v>
      </c>
      <c r="C67" s="19" t="n">
        <f aca="false">02_SKU_Master!F67</f>
        <v>134.6</v>
      </c>
      <c r="D67" s="19" t="n">
        <f aca="false">02_SKU_Master!G67</f>
        <v>112.5</v>
      </c>
      <c r="E67" s="20" t="n">
        <f aca="false">02_SKU_Master!E67</f>
        <v>55.33</v>
      </c>
      <c r="F67" s="7" t="n">
        <f aca="false">IFERROR(INDEX(05_Assumptions!$C$18:$C$22,MATCH(B67,05_Assumptions!$B$18:$B$22,0)),10)</f>
        <v>15</v>
      </c>
      <c r="G67" s="19" t="n">
        <f aca="false">C67*F67</f>
        <v>2019</v>
      </c>
      <c r="H67" s="19" t="n">
        <f aca="false">05_Assumptions!$D$13*D67*SQRT(F67)</f>
        <v>716.700409444865</v>
      </c>
      <c r="I67" s="19" t="n">
        <f aca="false">G67+H67</f>
        <v>2735.70040944487</v>
      </c>
      <c r="J67" s="19" t="n">
        <f aca="false">IFERROR(SQRT(2*(C67*365)*05_Assumptions!$D$26/(05_Assumptions!$D$27*E67)),0)</f>
        <v>666.305854526743</v>
      </c>
      <c r="K67" s="19" t="n">
        <f aca="false">02_SKU_Master!K67</f>
        <v>115</v>
      </c>
      <c r="L67" s="19" t="n">
        <f aca="false">IFERROR(K67/C67,0)</f>
        <v>0.854383358098068</v>
      </c>
      <c r="M67" s="7" t="str">
        <f aca="false">IF(K67&lt;I67,"CRITICAL - Below ROP",IF(K67&lt;I67*(1+05_Assumptions!$D$32),"WATCH - Near ROP","OK"))</f>
        <v>CRITICAL - Below ROP</v>
      </c>
      <c r="N67" s="7" t="str">
        <f aca="false">IF(L67&gt;05_Assumptions!$D$31,"OVERSTOCK RISK","OK")</f>
        <v>OK</v>
      </c>
      <c r="O67" s="7" t="str">
        <f aca="false">IF(K67&lt;I67,"REORDER NOW",IF(L67&gt;05_Assumptions!$D$31,"REDUCE / HOLD ORDERS","MONITOR"))</f>
        <v>REORDER NOW</v>
      </c>
    </row>
    <row r="68" customFormat="false" ht="15" hidden="false" customHeight="false" outlineLevel="0" collapsed="false">
      <c r="A68" s="7" t="str">
        <f aca="false">02_SKU_Master!A68</f>
        <v>S004-P0017</v>
      </c>
      <c r="B68" s="7" t="str">
        <f aca="false">02_SKU_Master!D68</f>
        <v>Furniture</v>
      </c>
      <c r="C68" s="19" t="n">
        <f aca="false">02_SKU_Master!F68</f>
        <v>135.6</v>
      </c>
      <c r="D68" s="19" t="n">
        <f aca="false">02_SKU_Master!G68</f>
        <v>107.6</v>
      </c>
      <c r="E68" s="20" t="n">
        <f aca="false">02_SKU_Master!E68</f>
        <v>54.87</v>
      </c>
      <c r="F68" s="7" t="n">
        <f aca="false">IFERROR(INDEX(05_Assumptions!$C$18:$C$22,MATCH(B68,05_Assumptions!$B$18:$B$22,0)),10)</f>
        <v>15</v>
      </c>
      <c r="G68" s="19" t="n">
        <f aca="false">C68*F68</f>
        <v>2034</v>
      </c>
      <c r="H68" s="19" t="n">
        <f aca="false">05_Assumptions!$D$13*D68*SQRT(F68)</f>
        <v>685.4841249446</v>
      </c>
      <c r="I68" s="19" t="n">
        <f aca="false">G68+H68</f>
        <v>2719.4841249446</v>
      </c>
      <c r="J68" s="19" t="n">
        <f aca="false">IFERROR(SQRT(2*(C68*365)*05_Assumptions!$D$26/(05_Assumptions!$D$27*E68)),0)</f>
        <v>671.573884009779</v>
      </c>
      <c r="K68" s="19" t="n">
        <f aca="false">02_SKU_Master!K68</f>
        <v>100</v>
      </c>
      <c r="L68" s="19" t="n">
        <f aca="false">IFERROR(K68/C68,0)</f>
        <v>0.737463126843658</v>
      </c>
      <c r="M68" s="7" t="str">
        <f aca="false">IF(K68&lt;I68,"CRITICAL - Below ROP",IF(K68&lt;I68*(1+05_Assumptions!$D$32),"WATCH - Near ROP","OK"))</f>
        <v>CRITICAL - Below ROP</v>
      </c>
      <c r="N68" s="7" t="str">
        <f aca="false">IF(L68&gt;05_Assumptions!$D$31,"OVERSTOCK RISK","OK")</f>
        <v>OK</v>
      </c>
      <c r="O68" s="7" t="str">
        <f aca="false">IF(K68&lt;I68,"REORDER NOW",IF(L68&gt;05_Assumptions!$D$31,"REDUCE / HOLD ORDERS","MONITOR"))</f>
        <v>REORDER NOW</v>
      </c>
    </row>
    <row r="69" customFormat="false" ht="15" hidden="false" customHeight="false" outlineLevel="0" collapsed="false">
      <c r="A69" s="7" t="str">
        <f aca="false">02_SKU_Master!A69</f>
        <v>S004-P0006</v>
      </c>
      <c r="B69" s="7" t="str">
        <f aca="false">02_SKU_Master!D69</f>
        <v>Clothing</v>
      </c>
      <c r="C69" s="19" t="n">
        <f aca="false">02_SKU_Master!F69</f>
        <v>141.1</v>
      </c>
      <c r="D69" s="19" t="n">
        <f aca="false">02_SKU_Master!G69</f>
        <v>108.4</v>
      </c>
      <c r="E69" s="20" t="n">
        <f aca="false">02_SKU_Master!E69</f>
        <v>52.69</v>
      </c>
      <c r="F69" s="7" t="n">
        <f aca="false">IFERROR(INDEX(05_Assumptions!$C$18:$C$22,MATCH(B69,05_Assumptions!$B$18:$B$22,0)),10)</f>
        <v>7</v>
      </c>
      <c r="G69" s="19" t="n">
        <f aca="false">C69*F69</f>
        <v>987.7</v>
      </c>
      <c r="H69" s="19" t="n">
        <f aca="false">05_Assumptions!$D$13*D69*SQRT(F69)</f>
        <v>471.756402342204</v>
      </c>
      <c r="I69" s="19" t="n">
        <f aca="false">G69+H69</f>
        <v>1459.4564023422</v>
      </c>
      <c r="J69" s="19" t="n">
        <f aca="false">IFERROR(SQRT(2*(C69*365)*05_Assumptions!$D$26/(05_Assumptions!$D$27*E69)),0)</f>
        <v>699.086381527055</v>
      </c>
      <c r="K69" s="19" t="n">
        <f aca="false">02_SKU_Master!K69</f>
        <v>364</v>
      </c>
      <c r="L69" s="19" t="n">
        <f aca="false">IFERROR(K69/C69,0)</f>
        <v>2.57973068745571</v>
      </c>
      <c r="M69" s="7" t="str">
        <f aca="false">IF(K69&lt;I69,"CRITICAL - Below ROP",IF(K69&lt;I69*(1+05_Assumptions!$D$32),"WATCH - Near ROP","OK"))</f>
        <v>CRITICAL - Below ROP</v>
      </c>
      <c r="N69" s="7" t="str">
        <f aca="false">IF(L69&gt;05_Assumptions!$D$31,"OVERSTOCK RISK","OK")</f>
        <v>OK</v>
      </c>
      <c r="O69" s="7" t="str">
        <f aca="false">IF(K69&lt;I69,"REORDER NOW",IF(L69&gt;05_Assumptions!$D$31,"REDUCE / HOLD ORDERS","MONITOR"))</f>
        <v>REORDER NOW</v>
      </c>
    </row>
    <row r="70" customFormat="false" ht="15" hidden="false" customHeight="false" outlineLevel="0" collapsed="false">
      <c r="A70" s="7" t="str">
        <f aca="false">02_SKU_Master!A70</f>
        <v>S002-P0010</v>
      </c>
      <c r="B70" s="7" t="str">
        <f aca="false">02_SKU_Master!D70</f>
        <v>Electronics</v>
      </c>
      <c r="C70" s="19" t="n">
        <f aca="false">02_SKU_Master!F70</f>
        <v>135.4</v>
      </c>
      <c r="D70" s="19" t="n">
        <f aca="false">02_SKU_Master!G70</f>
        <v>112.9</v>
      </c>
      <c r="E70" s="20" t="n">
        <f aca="false">02_SKU_Master!E70</f>
        <v>54.85</v>
      </c>
      <c r="F70" s="7" t="n">
        <f aca="false">IFERROR(INDEX(05_Assumptions!$C$18:$C$22,MATCH(B70,05_Assumptions!$B$18:$B$22,0)),10)</f>
        <v>10</v>
      </c>
      <c r="G70" s="19" t="n">
        <f aca="false">C70*F70</f>
        <v>1354</v>
      </c>
      <c r="H70" s="19" t="n">
        <f aca="false">05_Assumptions!$D$13*D70*SQRT(F70)</f>
        <v>587.264086070518</v>
      </c>
      <c r="I70" s="19" t="n">
        <f aca="false">G70+H70</f>
        <v>1941.26408607052</v>
      </c>
      <c r="J70" s="19" t="n">
        <f aca="false">IFERROR(SQRT(2*(C70*365)*05_Assumptions!$D$26/(05_Assumptions!$D$27*E70)),0)</f>
        <v>671.200777067358</v>
      </c>
      <c r="K70" s="19" t="n">
        <f aca="false">02_SKU_Master!K70</f>
        <v>419</v>
      </c>
      <c r="L70" s="19" t="n">
        <f aca="false">IFERROR(K70/C70,0)</f>
        <v>3.09453471196455</v>
      </c>
      <c r="M70" s="7" t="str">
        <f aca="false">IF(K70&lt;I70,"CRITICAL - Below ROP",IF(K70&lt;I70*(1+05_Assumptions!$D$32),"WATCH - Near ROP","OK"))</f>
        <v>CRITICAL - Below ROP</v>
      </c>
      <c r="N70" s="7" t="str">
        <f aca="false">IF(L70&gt;05_Assumptions!$D$31,"OVERSTOCK RISK","OK")</f>
        <v>OK</v>
      </c>
      <c r="O70" s="7" t="str">
        <f aca="false">IF(K70&lt;I70,"REORDER NOW",IF(L70&gt;05_Assumptions!$D$31,"REDUCE / HOLD ORDERS","MONITOR"))</f>
        <v>REORDER NOW</v>
      </c>
    </row>
    <row r="71" customFormat="false" ht="15" hidden="false" customHeight="false" outlineLevel="0" collapsed="false">
      <c r="A71" s="7" t="str">
        <f aca="false">02_SKU_Master!A71</f>
        <v>S001-P0016</v>
      </c>
      <c r="B71" s="7" t="str">
        <f aca="false">02_SKU_Master!D71</f>
        <v>Electronics</v>
      </c>
      <c r="C71" s="19" t="n">
        <f aca="false">02_SKU_Master!F71</f>
        <v>132.9</v>
      </c>
      <c r="D71" s="19" t="n">
        <f aca="false">02_SKU_Master!G71</f>
        <v>107.5</v>
      </c>
      <c r="E71" s="20" t="n">
        <f aca="false">02_SKU_Master!E71</f>
        <v>55.88</v>
      </c>
      <c r="F71" s="7" t="n">
        <f aca="false">IFERROR(INDEX(05_Assumptions!$C$18:$C$22,MATCH(B71,05_Assumptions!$B$18:$B$22,0)),10)</f>
        <v>10</v>
      </c>
      <c r="G71" s="19" t="n">
        <f aca="false">C71*F71</f>
        <v>1329</v>
      </c>
      <c r="H71" s="19" t="n">
        <f aca="false">05_Assumptions!$D$13*D71*SQRT(F71)</f>
        <v>559.175281245179</v>
      </c>
      <c r="I71" s="19" t="n">
        <f aca="false">G71+H71</f>
        <v>1888.17528124518</v>
      </c>
      <c r="J71" s="19" t="n">
        <f aca="false">IFERROR(SQRT(2*(C71*365)*05_Assumptions!$D$26/(05_Assumptions!$D$27*E71)),0)</f>
        <v>658.818409345461</v>
      </c>
      <c r="K71" s="19" t="n">
        <f aca="false">02_SKU_Master!K71</f>
        <v>74</v>
      </c>
      <c r="L71" s="19" t="n">
        <f aca="false">IFERROR(K71/C71,0)</f>
        <v>0.556809631301731</v>
      </c>
      <c r="M71" s="7" t="str">
        <f aca="false">IF(K71&lt;I71,"CRITICAL - Below ROP",IF(K71&lt;I71*(1+05_Assumptions!$D$32),"WATCH - Near ROP","OK"))</f>
        <v>CRITICAL - Below ROP</v>
      </c>
      <c r="N71" s="7" t="str">
        <f aca="false">IF(L71&gt;05_Assumptions!$D$31,"OVERSTOCK RISK","OK")</f>
        <v>OK</v>
      </c>
      <c r="O71" s="7" t="str">
        <f aca="false">IF(K71&lt;I71,"REORDER NOW",IF(L71&gt;05_Assumptions!$D$31,"REDUCE / HOLD ORDERS","MONITOR"))</f>
        <v>REORDER NOW</v>
      </c>
    </row>
    <row r="72" customFormat="false" ht="15" hidden="false" customHeight="false" outlineLevel="0" collapsed="false">
      <c r="A72" s="7" t="str">
        <f aca="false">02_SKU_Master!A72</f>
        <v>S004-P0015</v>
      </c>
      <c r="B72" s="7" t="str">
        <f aca="false">02_SKU_Master!D72</f>
        <v>Groceries</v>
      </c>
      <c r="C72" s="19" t="n">
        <f aca="false">02_SKU_Master!F72</f>
        <v>137.7</v>
      </c>
      <c r="D72" s="19" t="n">
        <f aca="false">02_SKU_Master!G72</f>
        <v>108.2</v>
      </c>
      <c r="E72" s="20" t="n">
        <f aca="false">02_SKU_Master!E72</f>
        <v>53.93</v>
      </c>
      <c r="F72" s="7" t="n">
        <f aca="false">IFERROR(INDEX(05_Assumptions!$C$18:$C$22,MATCH(B72,05_Assumptions!$B$18:$B$22,0)),10)</f>
        <v>3</v>
      </c>
      <c r="G72" s="19" t="n">
        <f aca="false">C72*F72</f>
        <v>413.1</v>
      </c>
      <c r="H72" s="19" t="n">
        <f aca="false">05_Assumptions!$D$13*D72*SQRT(F72)</f>
        <v>308.267250398639</v>
      </c>
      <c r="I72" s="19" t="n">
        <f aca="false">G72+H72</f>
        <v>721.367250398639</v>
      </c>
      <c r="J72" s="19" t="n">
        <f aca="false">IFERROR(SQRT(2*(C72*365)*05_Assumptions!$D$26/(05_Assumptions!$D$27*E72)),0)</f>
        <v>682.626579406827</v>
      </c>
      <c r="K72" s="19" t="n">
        <f aca="false">02_SKU_Master!K72</f>
        <v>56</v>
      </c>
      <c r="L72" s="19" t="n">
        <f aca="false">IFERROR(K72/C72,0)</f>
        <v>0.406681190994917</v>
      </c>
      <c r="M72" s="7" t="str">
        <f aca="false">IF(K72&lt;I72,"CRITICAL - Below ROP",IF(K72&lt;I72*(1+05_Assumptions!$D$32),"WATCH - Near ROP","OK"))</f>
        <v>CRITICAL - Below ROP</v>
      </c>
      <c r="N72" s="7" t="str">
        <f aca="false">IF(L72&gt;05_Assumptions!$D$31,"OVERSTOCK RISK","OK")</f>
        <v>OK</v>
      </c>
      <c r="O72" s="7" t="str">
        <f aca="false">IF(K72&lt;I72,"REORDER NOW",IF(L72&gt;05_Assumptions!$D$31,"REDUCE / HOLD ORDERS","MONITOR"))</f>
        <v>REORDER NOW</v>
      </c>
    </row>
    <row r="73" customFormat="false" ht="15" hidden="false" customHeight="false" outlineLevel="0" collapsed="false">
      <c r="A73" s="7" t="str">
        <f aca="false">02_SKU_Master!A73</f>
        <v>S001-P0019</v>
      </c>
      <c r="B73" s="7" t="str">
        <f aca="false">02_SKU_Master!D73</f>
        <v>Toys</v>
      </c>
      <c r="C73" s="19" t="n">
        <f aca="false">02_SKU_Master!F73</f>
        <v>134.7</v>
      </c>
      <c r="D73" s="19" t="n">
        <f aca="false">02_SKU_Master!G73</f>
        <v>109.5</v>
      </c>
      <c r="E73" s="20" t="n">
        <f aca="false">02_SKU_Master!E73</f>
        <v>55.12</v>
      </c>
      <c r="F73" s="7" t="n">
        <f aca="false">IFERROR(INDEX(05_Assumptions!$C$18:$C$22,MATCH(B73,05_Assumptions!$B$18:$B$22,0)),10)</f>
        <v>8</v>
      </c>
      <c r="G73" s="19" t="n">
        <f aca="false">C73*F73</f>
        <v>1077.6</v>
      </c>
      <c r="H73" s="19" t="n">
        <f aca="false">05_Assumptions!$D$13*D73*SQRT(F73)</f>
        <v>509.446535635703</v>
      </c>
      <c r="I73" s="19" t="n">
        <f aca="false">G73+H73</f>
        <v>1587.0465356357</v>
      </c>
      <c r="J73" s="19" t="n">
        <f aca="false">IFERROR(SQRT(2*(C73*365)*05_Assumptions!$D$26/(05_Assumptions!$D$27*E73)),0)</f>
        <v>667.821855346884</v>
      </c>
      <c r="K73" s="19" t="n">
        <f aca="false">02_SKU_Master!K73</f>
        <v>149</v>
      </c>
      <c r="L73" s="19" t="n">
        <f aca="false">IFERROR(K73/C73,0)</f>
        <v>1.10616184112843</v>
      </c>
      <c r="M73" s="7" t="str">
        <f aca="false">IF(K73&lt;I73,"CRITICAL - Below ROP",IF(K73&lt;I73*(1+05_Assumptions!$D$32),"WATCH - Near ROP","OK"))</f>
        <v>CRITICAL - Below ROP</v>
      </c>
      <c r="N73" s="7" t="str">
        <f aca="false">IF(L73&gt;05_Assumptions!$D$31,"OVERSTOCK RISK","OK")</f>
        <v>OK</v>
      </c>
      <c r="O73" s="7" t="str">
        <f aca="false">IF(K73&lt;I73,"REORDER NOW",IF(L73&gt;05_Assumptions!$D$31,"REDUCE / HOLD ORDERS","MONITOR"))</f>
        <v>REORDER NOW</v>
      </c>
    </row>
    <row r="74" customFormat="false" ht="15" hidden="false" customHeight="false" outlineLevel="0" collapsed="false">
      <c r="A74" s="7" t="str">
        <f aca="false">02_SKU_Master!A74</f>
        <v>S002-P0012</v>
      </c>
      <c r="B74" s="7" t="str">
        <f aca="false">02_SKU_Master!D74</f>
        <v>Groceries</v>
      </c>
      <c r="C74" s="19" t="n">
        <f aca="false">02_SKU_Master!F74</f>
        <v>140.3</v>
      </c>
      <c r="D74" s="19" t="n">
        <f aca="false">02_SKU_Master!G74</f>
        <v>111.8</v>
      </c>
      <c r="E74" s="20" t="n">
        <f aca="false">02_SKU_Master!E74</f>
        <v>52.9</v>
      </c>
      <c r="F74" s="7" t="n">
        <f aca="false">IFERROR(INDEX(05_Assumptions!$C$18:$C$22,MATCH(B74,05_Assumptions!$B$18:$B$22,0)),10)</f>
        <v>3</v>
      </c>
      <c r="G74" s="19" t="n">
        <f aca="false">C74*F74</f>
        <v>420.9</v>
      </c>
      <c r="H74" s="19" t="n">
        <f aca="false">05_Assumptions!$D$13*D74*SQRT(F74)</f>
        <v>318.523831742771</v>
      </c>
      <c r="I74" s="19" t="n">
        <f aca="false">G74+H74</f>
        <v>739.423831742771</v>
      </c>
      <c r="J74" s="19" t="n">
        <f aca="false">IFERROR(SQRT(2*(C74*365)*05_Assumptions!$D$26/(05_Assumptions!$D$27*E74)),0)</f>
        <v>695.716708963092</v>
      </c>
      <c r="K74" s="19" t="n">
        <f aca="false">02_SKU_Master!K74</f>
        <v>193</v>
      </c>
      <c r="L74" s="19" t="n">
        <f aca="false">IFERROR(K74/C74,0)</f>
        <v>1.37562366357805</v>
      </c>
      <c r="M74" s="7" t="str">
        <f aca="false">IF(K74&lt;I74,"CRITICAL - Below ROP",IF(K74&lt;I74*(1+05_Assumptions!$D$32),"WATCH - Near ROP","OK"))</f>
        <v>CRITICAL - Below ROP</v>
      </c>
      <c r="N74" s="7" t="str">
        <f aca="false">IF(L74&gt;05_Assumptions!$D$31,"OVERSTOCK RISK","OK")</f>
        <v>OK</v>
      </c>
      <c r="O74" s="7" t="str">
        <f aca="false">IF(K74&lt;I74,"REORDER NOW",IF(L74&gt;05_Assumptions!$D$31,"REDUCE / HOLD ORDERS","MONITOR"))</f>
        <v>REORDER NOW</v>
      </c>
    </row>
    <row r="75" customFormat="false" ht="15" hidden="false" customHeight="false" outlineLevel="0" collapsed="false">
      <c r="A75" s="7" t="str">
        <f aca="false">02_SKU_Master!A75</f>
        <v>S004-P0004</v>
      </c>
      <c r="B75" s="7" t="str">
        <f aca="false">02_SKU_Master!D75</f>
        <v>Clothing</v>
      </c>
      <c r="C75" s="19" t="n">
        <f aca="false">02_SKU_Master!F75</f>
        <v>131.1</v>
      </c>
      <c r="D75" s="19" t="n">
        <f aca="false">02_SKU_Master!G75</f>
        <v>107.1</v>
      </c>
      <c r="E75" s="20" t="n">
        <f aca="false">02_SKU_Master!E75</f>
        <v>56.54</v>
      </c>
      <c r="F75" s="7" t="n">
        <f aca="false">IFERROR(INDEX(05_Assumptions!$C$18:$C$22,MATCH(B75,05_Assumptions!$B$18:$B$22,0)),10)</f>
        <v>7</v>
      </c>
      <c r="G75" s="19" t="n">
        <f aca="false">C75*F75</f>
        <v>917.7</v>
      </c>
      <c r="H75" s="19" t="n">
        <f aca="false">05_Assumptions!$D$13*D75*SQRT(F75)</f>
        <v>466.098807111163</v>
      </c>
      <c r="I75" s="19" t="n">
        <f aca="false">G75+H75</f>
        <v>1383.79880711116</v>
      </c>
      <c r="J75" s="19" t="n">
        <f aca="false">IFERROR(SQRT(2*(C75*365)*05_Assumptions!$D$26/(05_Assumptions!$D$27*E75)),0)</f>
        <v>650.511349568887</v>
      </c>
      <c r="K75" s="19" t="n">
        <f aca="false">02_SKU_Master!K75</f>
        <v>105</v>
      </c>
      <c r="L75" s="19" t="n">
        <f aca="false">IFERROR(K75/C75,0)</f>
        <v>0.80091533180778</v>
      </c>
      <c r="M75" s="7" t="str">
        <f aca="false">IF(K75&lt;I75,"CRITICAL - Below ROP",IF(K75&lt;I75*(1+05_Assumptions!$D$32),"WATCH - Near ROP","OK"))</f>
        <v>CRITICAL - Below ROP</v>
      </c>
      <c r="N75" s="7" t="str">
        <f aca="false">IF(L75&gt;05_Assumptions!$D$31,"OVERSTOCK RISK","OK")</f>
        <v>OK</v>
      </c>
      <c r="O75" s="7" t="str">
        <f aca="false">IF(K75&lt;I75,"REORDER NOW",IF(L75&gt;05_Assumptions!$D$31,"REDUCE / HOLD ORDERS","MONITOR"))</f>
        <v>REORDER NOW</v>
      </c>
    </row>
    <row r="76" customFormat="false" ht="15" hidden="false" customHeight="false" outlineLevel="0" collapsed="false">
      <c r="A76" s="7" t="str">
        <f aca="false">02_SKU_Master!A76</f>
        <v>S002-P0013</v>
      </c>
      <c r="B76" s="7" t="str">
        <f aca="false">02_SKU_Master!D76</f>
        <v>Electronics</v>
      </c>
      <c r="C76" s="19" t="n">
        <f aca="false">02_SKU_Master!F76</f>
        <v>134.2</v>
      </c>
      <c r="D76" s="19" t="n">
        <f aca="false">02_SKU_Master!G76</f>
        <v>106.2</v>
      </c>
      <c r="E76" s="20" t="n">
        <f aca="false">02_SKU_Master!E76</f>
        <v>55.18</v>
      </c>
      <c r="F76" s="7" t="n">
        <f aca="false">IFERROR(INDEX(05_Assumptions!$C$18:$C$22,MATCH(B76,05_Assumptions!$B$18:$B$22,0)),10)</f>
        <v>10</v>
      </c>
      <c r="G76" s="19" t="n">
        <f aca="false">C76*F76</f>
        <v>1342</v>
      </c>
      <c r="H76" s="19" t="n">
        <f aca="false">05_Assumptions!$D$13*D76*SQRT(F76)</f>
        <v>552.413161565005</v>
      </c>
      <c r="I76" s="19" t="n">
        <f aca="false">G76+H76</f>
        <v>1894.413161565</v>
      </c>
      <c r="J76" s="19" t="n">
        <f aca="false">IFERROR(SQRT(2*(C76*365)*05_Assumptions!$D$26/(05_Assumptions!$D$27*E76)),0)</f>
        <v>666.218739215082</v>
      </c>
      <c r="K76" s="19" t="n">
        <f aca="false">02_SKU_Master!K76</f>
        <v>472</v>
      </c>
      <c r="L76" s="19" t="n">
        <f aca="false">IFERROR(K76/C76,0)</f>
        <v>3.51713859910581</v>
      </c>
      <c r="M76" s="7" t="str">
        <f aca="false">IF(K76&lt;I76,"CRITICAL - Below ROP",IF(K76&lt;I76*(1+05_Assumptions!$D$32),"WATCH - Near ROP","OK"))</f>
        <v>CRITICAL - Below ROP</v>
      </c>
      <c r="N76" s="7" t="str">
        <f aca="false">IF(L76&gt;05_Assumptions!$D$31,"OVERSTOCK RISK","OK")</f>
        <v>OK</v>
      </c>
      <c r="O76" s="7" t="str">
        <f aca="false">IF(K76&lt;I76,"REORDER NOW",IF(L76&gt;05_Assumptions!$D$31,"REDUCE / HOLD ORDERS","MONITOR"))</f>
        <v>REORDER NOW</v>
      </c>
    </row>
    <row r="77" customFormat="false" ht="15" hidden="false" customHeight="false" outlineLevel="0" collapsed="false">
      <c r="A77" s="7" t="str">
        <f aca="false">02_SKU_Master!A77</f>
        <v>S005-P0008</v>
      </c>
      <c r="B77" s="7" t="str">
        <f aca="false">02_SKU_Master!D77</f>
        <v>Furniture</v>
      </c>
      <c r="C77" s="19" t="n">
        <f aca="false">02_SKU_Master!F77</f>
        <v>133.9</v>
      </c>
      <c r="D77" s="19" t="n">
        <f aca="false">02_SKU_Master!G77</f>
        <v>111.2</v>
      </c>
      <c r="E77" s="20" t="n">
        <f aca="false">02_SKU_Master!E77</f>
        <v>55.26</v>
      </c>
      <c r="F77" s="7" t="n">
        <f aca="false">IFERROR(INDEX(05_Assumptions!$C$18:$C$22,MATCH(B77,05_Assumptions!$B$18:$B$22,0)),10)</f>
        <v>15</v>
      </c>
      <c r="G77" s="19" t="n">
        <f aca="false">C77*F77</f>
        <v>2008.5</v>
      </c>
      <c r="H77" s="19" t="n">
        <f aca="false">05_Assumptions!$D$13*D77*SQRT(F77)</f>
        <v>708.418538046836</v>
      </c>
      <c r="I77" s="19" t="n">
        <f aca="false">G77+H77</f>
        <v>2716.91853804684</v>
      </c>
      <c r="J77" s="19" t="n">
        <f aca="false">IFERROR(SQRT(2*(C77*365)*05_Assumptions!$D$26/(05_Assumptions!$D$27*E77)),0)</f>
        <v>664.991788595729</v>
      </c>
      <c r="K77" s="19" t="n">
        <f aca="false">02_SKU_Master!K77</f>
        <v>409</v>
      </c>
      <c r="L77" s="19" t="n">
        <f aca="false">IFERROR(K77/C77,0)</f>
        <v>3.05451829723674</v>
      </c>
      <c r="M77" s="7" t="str">
        <f aca="false">IF(K77&lt;I77,"CRITICAL - Below ROP",IF(K77&lt;I77*(1+05_Assumptions!$D$32),"WATCH - Near ROP","OK"))</f>
        <v>CRITICAL - Below ROP</v>
      </c>
      <c r="N77" s="7" t="str">
        <f aca="false">IF(L77&gt;05_Assumptions!$D$31,"OVERSTOCK RISK","OK")</f>
        <v>OK</v>
      </c>
      <c r="O77" s="7" t="str">
        <f aca="false">IF(K77&lt;I77,"REORDER NOW",IF(L77&gt;05_Assumptions!$D$31,"REDUCE / HOLD ORDERS","MONITOR"))</f>
        <v>REORDER NOW</v>
      </c>
    </row>
    <row r="78" customFormat="false" ht="15" hidden="false" customHeight="false" outlineLevel="0" collapsed="false">
      <c r="A78" s="7" t="str">
        <f aca="false">02_SKU_Master!A78</f>
        <v>S004-P0020</v>
      </c>
      <c r="B78" s="7" t="str">
        <f aca="false">02_SKU_Master!D78</f>
        <v>Electronics</v>
      </c>
      <c r="C78" s="19" t="n">
        <f aca="false">02_SKU_Master!F78</f>
        <v>135.8</v>
      </c>
      <c r="D78" s="19" t="n">
        <f aca="false">02_SKU_Master!G78</f>
        <v>106.7</v>
      </c>
      <c r="E78" s="20" t="n">
        <f aca="false">02_SKU_Master!E78</f>
        <v>54.34</v>
      </c>
      <c r="F78" s="7" t="n">
        <f aca="false">IFERROR(INDEX(05_Assumptions!$C$18:$C$22,MATCH(B78,05_Assumptions!$B$18:$B$22,0)),10)</f>
        <v>10</v>
      </c>
      <c r="G78" s="19" t="n">
        <f aca="false">C78*F78</f>
        <v>1358</v>
      </c>
      <c r="H78" s="19" t="n">
        <f aca="false">05_Assumptions!$D$13*D78*SQRT(F78)</f>
        <v>555.01397682661</v>
      </c>
      <c r="I78" s="19" t="n">
        <f aca="false">G78+H78</f>
        <v>1913.01397682661</v>
      </c>
      <c r="J78" s="19" t="n">
        <f aca="false">IFERROR(SQRT(2*(C78*365)*05_Assumptions!$D$26/(05_Assumptions!$D$27*E78)),0)</f>
        <v>675.338489810049</v>
      </c>
      <c r="K78" s="19" t="n">
        <f aca="false">02_SKU_Master!K78</f>
        <v>249</v>
      </c>
      <c r="L78" s="19" t="n">
        <f aca="false">IFERROR(K78/C78,0)</f>
        <v>1.83357879234168</v>
      </c>
      <c r="M78" s="7" t="str">
        <f aca="false">IF(K78&lt;I78,"CRITICAL - Below ROP",IF(K78&lt;I78*(1+05_Assumptions!$D$32),"WATCH - Near ROP","OK"))</f>
        <v>CRITICAL - Below ROP</v>
      </c>
      <c r="N78" s="7" t="str">
        <f aca="false">IF(L78&gt;05_Assumptions!$D$31,"OVERSTOCK RISK","OK")</f>
        <v>OK</v>
      </c>
      <c r="O78" s="7" t="str">
        <f aca="false">IF(K78&lt;I78,"REORDER NOW",IF(L78&gt;05_Assumptions!$D$31,"REDUCE / HOLD ORDERS","MONITOR"))</f>
        <v>REORDER NOW</v>
      </c>
    </row>
    <row r="79" customFormat="false" ht="15" hidden="false" customHeight="false" outlineLevel="0" collapsed="false">
      <c r="A79" s="7" t="str">
        <f aca="false">02_SKU_Master!A79</f>
        <v>S005-P0018</v>
      </c>
      <c r="B79" s="7" t="str">
        <f aca="false">02_SKU_Master!D79</f>
        <v>Toys</v>
      </c>
      <c r="C79" s="19" t="n">
        <f aca="false">02_SKU_Master!F79</f>
        <v>134.2</v>
      </c>
      <c r="D79" s="19" t="n">
        <f aca="false">02_SKU_Master!G79</f>
        <v>109.8</v>
      </c>
      <c r="E79" s="20" t="n">
        <f aca="false">02_SKU_Master!E79</f>
        <v>55</v>
      </c>
      <c r="F79" s="7" t="n">
        <f aca="false">IFERROR(INDEX(05_Assumptions!$C$18:$C$22,MATCH(B79,05_Assumptions!$B$18:$B$22,0)),10)</f>
        <v>8</v>
      </c>
      <c r="G79" s="19" t="n">
        <f aca="false">C79*F79</f>
        <v>1073.6</v>
      </c>
      <c r="H79" s="19" t="n">
        <f aca="false">05_Assumptions!$D$13*D79*SQRT(F79)</f>
        <v>510.842279568952</v>
      </c>
      <c r="I79" s="19" t="n">
        <f aca="false">G79+H79</f>
        <v>1584.44227956895</v>
      </c>
      <c r="J79" s="19" t="n">
        <f aca="false">IFERROR(SQRT(2*(C79*365)*05_Assumptions!$D$26/(05_Assumptions!$D$27*E79)),0)</f>
        <v>667.308024828115</v>
      </c>
      <c r="K79" s="19" t="n">
        <f aca="false">02_SKU_Master!K79</f>
        <v>278</v>
      </c>
      <c r="L79" s="19" t="n">
        <f aca="false">IFERROR(K79/C79,0)</f>
        <v>2.07153502235469</v>
      </c>
      <c r="M79" s="7" t="str">
        <f aca="false">IF(K79&lt;I79,"CRITICAL - Below ROP",IF(K79&lt;I79*(1+05_Assumptions!$D$32),"WATCH - Near ROP","OK"))</f>
        <v>CRITICAL - Below ROP</v>
      </c>
      <c r="N79" s="7" t="str">
        <f aca="false">IF(L79&gt;05_Assumptions!$D$31,"OVERSTOCK RISK","OK")</f>
        <v>OK</v>
      </c>
      <c r="O79" s="7" t="str">
        <f aca="false">IF(K79&lt;I79,"REORDER NOW",IF(L79&gt;05_Assumptions!$D$31,"REDUCE / HOLD ORDERS","MONITOR"))</f>
        <v>REORDER NOW</v>
      </c>
    </row>
    <row r="80" customFormat="false" ht="15" hidden="false" customHeight="false" outlineLevel="0" collapsed="false">
      <c r="A80" s="7" t="str">
        <f aca="false">02_SKU_Master!A80</f>
        <v>S004-P0002</v>
      </c>
      <c r="B80" s="7" t="str">
        <f aca="false">02_SKU_Master!D80</f>
        <v>Groceries</v>
      </c>
      <c r="C80" s="19" t="n">
        <f aca="false">02_SKU_Master!F80</f>
        <v>130.4</v>
      </c>
      <c r="D80" s="19" t="n">
        <f aca="false">02_SKU_Master!G80</f>
        <v>103.4</v>
      </c>
      <c r="E80" s="20" t="n">
        <f aca="false">02_SKU_Master!E80</f>
        <v>56.29</v>
      </c>
      <c r="F80" s="7" t="n">
        <f aca="false">IFERROR(INDEX(05_Assumptions!$C$18:$C$22,MATCH(B80,05_Assumptions!$B$18:$B$22,0)),10)</f>
        <v>3</v>
      </c>
      <c r="G80" s="19" t="n">
        <f aca="false">C80*F80</f>
        <v>391.2</v>
      </c>
      <c r="H80" s="19" t="n">
        <f aca="false">05_Assumptions!$D$13*D80*SQRT(F80)</f>
        <v>294.591808606463</v>
      </c>
      <c r="I80" s="19" t="n">
        <f aca="false">G80+H80</f>
        <v>685.791808606463</v>
      </c>
      <c r="J80" s="19" t="n">
        <f aca="false">IFERROR(SQRT(2*(C80*365)*05_Assumptions!$D$26/(05_Assumptions!$D$27*E80)),0)</f>
        <v>650.211439160803</v>
      </c>
      <c r="K80" s="19" t="n">
        <f aca="false">02_SKU_Master!K80</f>
        <v>181</v>
      </c>
      <c r="L80" s="19" t="n">
        <f aca="false">IFERROR(K80/C80,0)</f>
        <v>1.38803680981595</v>
      </c>
      <c r="M80" s="7" t="str">
        <f aca="false">IF(K80&lt;I80,"CRITICAL - Below ROP",IF(K80&lt;I80*(1+05_Assumptions!$D$32),"WATCH - Near ROP","OK"))</f>
        <v>CRITICAL - Below ROP</v>
      </c>
      <c r="N80" s="7" t="str">
        <f aca="false">IF(L80&gt;05_Assumptions!$D$31,"OVERSTOCK RISK","OK")</f>
        <v>OK</v>
      </c>
      <c r="O80" s="7" t="str">
        <f aca="false">IF(K80&lt;I80,"REORDER NOW",IF(L80&gt;05_Assumptions!$D$31,"REDUCE / HOLD ORDERS","MONITOR"))</f>
        <v>REORDER NOW</v>
      </c>
    </row>
    <row r="81" customFormat="false" ht="15" hidden="false" customHeight="false" outlineLevel="0" collapsed="false">
      <c r="A81" s="7" t="str">
        <f aca="false">02_SKU_Master!A81</f>
        <v>S005-P0002</v>
      </c>
      <c r="B81" s="7" t="str">
        <f aca="false">02_SKU_Master!D81</f>
        <v>Furniture</v>
      </c>
      <c r="C81" s="19" t="n">
        <f aca="false">02_SKU_Master!F81</f>
        <v>134.3</v>
      </c>
      <c r="D81" s="19" t="n">
        <f aca="false">02_SKU_Master!G81</f>
        <v>105.8</v>
      </c>
      <c r="E81" s="20" t="n">
        <f aca="false">02_SKU_Master!E81</f>
        <v>54.57</v>
      </c>
      <c r="F81" s="7" t="n">
        <f aca="false">IFERROR(INDEX(05_Assumptions!$C$18:$C$22,MATCH(B81,05_Assumptions!$B$18:$B$22,0)),10)</f>
        <v>15</v>
      </c>
      <c r="G81" s="19" t="n">
        <f aca="false">C81*F81</f>
        <v>2014.5</v>
      </c>
      <c r="H81" s="19" t="n">
        <f aca="false">05_Assumptions!$D$13*D81*SQRT(F81)</f>
        <v>674.016918393482</v>
      </c>
      <c r="I81" s="19" t="n">
        <f aca="false">G81+H81</f>
        <v>2688.51691839348</v>
      </c>
      <c r="J81" s="19" t="n">
        <f aca="false">IFERROR(SQRT(2*(C81*365)*05_Assumptions!$D$26/(05_Assumptions!$D$27*E81)),0)</f>
        <v>670.181544195814</v>
      </c>
      <c r="K81" s="19" t="n">
        <f aca="false">02_SKU_Master!K81</f>
        <v>253</v>
      </c>
      <c r="L81" s="19" t="n">
        <f aca="false">IFERROR(K81/C81,0)</f>
        <v>1.88384214445272</v>
      </c>
      <c r="M81" s="7" t="str">
        <f aca="false">IF(K81&lt;I81,"CRITICAL - Below ROP",IF(K81&lt;I81*(1+05_Assumptions!$D$32),"WATCH - Near ROP","OK"))</f>
        <v>CRITICAL - Below ROP</v>
      </c>
      <c r="N81" s="7" t="str">
        <f aca="false">IF(L81&gt;05_Assumptions!$D$31,"OVERSTOCK RISK","OK")</f>
        <v>OK</v>
      </c>
      <c r="O81" s="7" t="str">
        <f aca="false">IF(K81&lt;I81,"REORDER NOW",IF(L81&gt;05_Assumptions!$D$31,"REDUCE / HOLD ORDERS","MONITOR"))</f>
        <v>REORDER NOW</v>
      </c>
    </row>
    <row r="82" customFormat="false" ht="15" hidden="false" customHeight="false" outlineLevel="0" collapsed="false">
      <c r="A82" s="7" t="str">
        <f aca="false">02_SKU_Master!A82</f>
        <v>S002-P0003</v>
      </c>
      <c r="B82" s="7" t="str">
        <f aca="false">02_SKU_Master!D82</f>
        <v>Clothing</v>
      </c>
      <c r="C82" s="19" t="n">
        <f aca="false">02_SKU_Master!F82</f>
        <v>133</v>
      </c>
      <c r="D82" s="19" t="n">
        <f aca="false">02_SKU_Master!G82</f>
        <v>111.3</v>
      </c>
      <c r="E82" s="20" t="n">
        <f aca="false">02_SKU_Master!E82</f>
        <v>55.01</v>
      </c>
      <c r="F82" s="7" t="n">
        <f aca="false">IFERROR(INDEX(05_Assumptions!$C$18:$C$22,MATCH(B82,05_Assumptions!$B$18:$B$22,0)),10)</f>
        <v>7</v>
      </c>
      <c r="G82" s="19" t="n">
        <f aca="false">C82*F82</f>
        <v>931</v>
      </c>
      <c r="H82" s="19" t="n">
        <f aca="false">05_Assumptions!$D$13*D82*SQRT(F82)</f>
        <v>484.377191703757</v>
      </c>
      <c r="I82" s="19" t="n">
        <f aca="false">G82+H82</f>
        <v>1415.37719170376</v>
      </c>
      <c r="J82" s="19" t="n">
        <f aca="false">IFERROR(SQRT(2*(C82*365)*05_Assumptions!$D$26/(05_Assumptions!$D$27*E82)),0)</f>
        <v>664.257447632421</v>
      </c>
      <c r="K82" s="19" t="n">
        <f aca="false">02_SKU_Master!K82</f>
        <v>372</v>
      </c>
      <c r="L82" s="19" t="n">
        <f aca="false">IFERROR(K82/C82,0)</f>
        <v>2.79699248120301</v>
      </c>
      <c r="M82" s="7" t="str">
        <f aca="false">IF(K82&lt;I82,"CRITICAL - Below ROP",IF(K82&lt;I82*(1+05_Assumptions!$D$32),"WATCH - Near ROP","OK"))</f>
        <v>CRITICAL - Below ROP</v>
      </c>
      <c r="N82" s="7" t="str">
        <f aca="false">IF(L82&gt;05_Assumptions!$D$31,"OVERSTOCK RISK","OK")</f>
        <v>OK</v>
      </c>
      <c r="O82" s="7" t="str">
        <f aca="false">IF(K82&lt;I82,"REORDER NOW",IF(L82&gt;05_Assumptions!$D$31,"REDUCE / HOLD ORDERS","MONITOR"))</f>
        <v>REORDER NOW</v>
      </c>
    </row>
    <row r="83" customFormat="false" ht="15" hidden="false" customHeight="false" outlineLevel="0" collapsed="false">
      <c r="A83" s="7" t="str">
        <f aca="false">02_SKU_Master!A83</f>
        <v>S003-P0004</v>
      </c>
      <c r="B83" s="7" t="str">
        <f aca="false">02_SKU_Master!D83</f>
        <v>Groceries</v>
      </c>
      <c r="C83" s="19" t="n">
        <f aca="false">02_SKU_Master!F83</f>
        <v>132.2</v>
      </c>
      <c r="D83" s="19" t="n">
        <f aca="false">02_SKU_Master!G83</f>
        <v>104.9</v>
      </c>
      <c r="E83" s="20" t="n">
        <f aca="false">02_SKU_Master!E83</f>
        <v>55.09</v>
      </c>
      <c r="F83" s="7" t="n">
        <f aca="false">IFERROR(INDEX(05_Assumptions!$C$18:$C$22,MATCH(B83,05_Assumptions!$B$18:$B$22,0)),10)</f>
        <v>3</v>
      </c>
      <c r="G83" s="19" t="n">
        <f aca="false">C83*F83</f>
        <v>396.6</v>
      </c>
      <c r="H83" s="19" t="n">
        <f aca="false">05_Assumptions!$D$13*D83*SQRT(F83)</f>
        <v>298.865384166518</v>
      </c>
      <c r="I83" s="19" t="n">
        <f aca="false">G83+H83</f>
        <v>695.465384166518</v>
      </c>
      <c r="J83" s="19" t="n">
        <f aca="false">IFERROR(SQRT(2*(C83*365)*05_Assumptions!$D$26/(05_Assumptions!$D$27*E83)),0)</f>
        <v>661.775638585324</v>
      </c>
      <c r="K83" s="19" t="n">
        <f aca="false">02_SKU_Master!K83</f>
        <v>415</v>
      </c>
      <c r="L83" s="19" t="n">
        <f aca="false">IFERROR(K83/C83,0)</f>
        <v>3.13918305597579</v>
      </c>
      <c r="M83" s="7" t="str">
        <f aca="false">IF(K83&lt;I83,"CRITICAL - Below ROP",IF(K83&lt;I83*(1+05_Assumptions!$D$32),"WATCH - Near ROP","OK"))</f>
        <v>CRITICAL - Below ROP</v>
      </c>
      <c r="N83" s="7" t="str">
        <f aca="false">IF(L83&gt;05_Assumptions!$D$31,"OVERSTOCK RISK","OK")</f>
        <v>OK</v>
      </c>
      <c r="O83" s="7" t="str">
        <f aca="false">IF(K83&lt;I83,"REORDER NOW",IF(L83&gt;05_Assumptions!$D$31,"REDUCE / HOLD ORDERS","MONITOR"))</f>
        <v>REORDER NOW</v>
      </c>
    </row>
    <row r="84" customFormat="false" ht="15" hidden="false" customHeight="false" outlineLevel="0" collapsed="false">
      <c r="A84" s="7" t="str">
        <f aca="false">02_SKU_Master!A84</f>
        <v>S001-P0013</v>
      </c>
      <c r="B84" s="7" t="str">
        <f aca="false">02_SKU_Master!D84</f>
        <v>Groceries</v>
      </c>
      <c r="C84" s="19" t="n">
        <f aca="false">02_SKU_Master!F84</f>
        <v>132.9</v>
      </c>
      <c r="D84" s="19" t="n">
        <f aca="false">02_SKU_Master!G84</f>
        <v>109.2</v>
      </c>
      <c r="E84" s="20" t="n">
        <f aca="false">02_SKU_Master!E84</f>
        <v>54.8</v>
      </c>
      <c r="F84" s="7" t="n">
        <f aca="false">IFERROR(INDEX(05_Assumptions!$C$18:$C$22,MATCH(B84,05_Assumptions!$B$18:$B$22,0)),10)</f>
        <v>3</v>
      </c>
      <c r="G84" s="19" t="n">
        <f aca="false">C84*F84</f>
        <v>398.7</v>
      </c>
      <c r="H84" s="19" t="n">
        <f aca="false">05_Assumptions!$D$13*D84*SQRT(F84)</f>
        <v>311.116300772009</v>
      </c>
      <c r="I84" s="19" t="n">
        <f aca="false">G84+H84</f>
        <v>709.816300772009</v>
      </c>
      <c r="J84" s="19" t="n">
        <f aca="false">IFERROR(SQRT(2*(C84*365)*05_Assumptions!$D$26/(05_Assumptions!$D$27*E84)),0)</f>
        <v>665.278740769392</v>
      </c>
      <c r="K84" s="19" t="n">
        <f aca="false">02_SKU_Master!K84</f>
        <v>356</v>
      </c>
      <c r="L84" s="19" t="n">
        <f aca="false">IFERROR(K84/C84,0)</f>
        <v>2.67870579382995</v>
      </c>
      <c r="M84" s="7" t="str">
        <f aca="false">IF(K84&lt;I84,"CRITICAL - Below ROP",IF(K84&lt;I84*(1+05_Assumptions!$D$32),"WATCH - Near ROP","OK"))</f>
        <v>CRITICAL - Below ROP</v>
      </c>
      <c r="N84" s="7" t="str">
        <f aca="false">IF(L84&gt;05_Assumptions!$D$31,"OVERSTOCK RISK","OK")</f>
        <v>OK</v>
      </c>
      <c r="O84" s="7" t="str">
        <f aca="false">IF(K84&lt;I84,"REORDER NOW",IF(L84&gt;05_Assumptions!$D$31,"REDUCE / HOLD ORDERS","MONITOR"))</f>
        <v>REORDER NOW</v>
      </c>
    </row>
    <row r="85" customFormat="false" ht="15" hidden="false" customHeight="false" outlineLevel="0" collapsed="false">
      <c r="A85" s="7" t="str">
        <f aca="false">02_SKU_Master!A85</f>
        <v>S001-P0009</v>
      </c>
      <c r="B85" s="7" t="str">
        <f aca="false">02_SKU_Master!D85</f>
        <v>Groceries</v>
      </c>
      <c r="C85" s="19" t="n">
        <f aca="false">02_SKU_Master!F85</f>
        <v>131.4</v>
      </c>
      <c r="D85" s="19" t="n">
        <f aca="false">02_SKU_Master!G85</f>
        <v>107.1</v>
      </c>
      <c r="E85" s="20" t="n">
        <f aca="false">02_SKU_Master!E85</f>
        <v>55.4</v>
      </c>
      <c r="F85" s="7" t="n">
        <f aca="false">IFERROR(INDEX(05_Assumptions!$C$18:$C$22,MATCH(B85,05_Assumptions!$B$18:$B$22,0)),10)</f>
        <v>3</v>
      </c>
      <c r="G85" s="19" t="n">
        <f aca="false">C85*F85</f>
        <v>394.2</v>
      </c>
      <c r="H85" s="19" t="n">
        <f aca="false">05_Assumptions!$D$13*D85*SQRT(F85)</f>
        <v>305.133294987932</v>
      </c>
      <c r="I85" s="19" t="n">
        <f aca="false">G85+H85</f>
        <v>699.333294987932</v>
      </c>
      <c r="J85" s="19" t="n">
        <f aca="false">IFERROR(SQRT(2*(C85*365)*05_Assumptions!$D$26/(05_Assumptions!$D$27*E85)),0)</f>
        <v>657.92173609809</v>
      </c>
      <c r="K85" s="19" t="n">
        <f aca="false">02_SKU_Master!K85</f>
        <v>167</v>
      </c>
      <c r="L85" s="19" t="n">
        <f aca="false">IFERROR(K85/C85,0)</f>
        <v>1.27092846270928</v>
      </c>
      <c r="M85" s="7" t="str">
        <f aca="false">IF(K85&lt;I85,"CRITICAL - Below ROP",IF(K85&lt;I85*(1+05_Assumptions!$D$32),"WATCH - Near ROP","OK"))</f>
        <v>CRITICAL - Below ROP</v>
      </c>
      <c r="N85" s="7" t="str">
        <f aca="false">IF(L85&gt;05_Assumptions!$D$31,"OVERSTOCK RISK","OK")</f>
        <v>OK</v>
      </c>
      <c r="O85" s="7" t="str">
        <f aca="false">IF(K85&lt;I85,"REORDER NOW",IF(L85&gt;05_Assumptions!$D$31,"REDUCE / HOLD ORDERS","MONITOR"))</f>
        <v>REORDER NOW</v>
      </c>
    </row>
    <row r="86" customFormat="false" ht="15" hidden="false" customHeight="false" outlineLevel="0" collapsed="false">
      <c r="A86" s="7" t="str">
        <f aca="false">02_SKU_Master!A86</f>
        <v>S003-P0008</v>
      </c>
      <c r="B86" s="7" t="str">
        <f aca="false">02_SKU_Master!D86</f>
        <v>Electronics</v>
      </c>
      <c r="C86" s="19" t="n">
        <f aca="false">02_SKU_Master!F86</f>
        <v>133.9</v>
      </c>
      <c r="D86" s="19" t="n">
        <f aca="false">02_SKU_Master!G86</f>
        <v>109.8</v>
      </c>
      <c r="E86" s="20" t="n">
        <f aca="false">02_SKU_Master!E86</f>
        <v>54.29</v>
      </c>
      <c r="F86" s="7" t="n">
        <f aca="false">IFERROR(INDEX(05_Assumptions!$C$18:$C$22,MATCH(B86,05_Assumptions!$B$18:$B$22,0)),10)</f>
        <v>10</v>
      </c>
      <c r="G86" s="19" t="n">
        <f aca="false">C86*F86</f>
        <v>1339</v>
      </c>
      <c r="H86" s="19" t="n">
        <f aca="false">05_Assumptions!$D$13*D86*SQRT(F86)</f>
        <v>571.139031448564</v>
      </c>
      <c r="I86" s="19" t="n">
        <f aca="false">G86+H86</f>
        <v>1910.13903144856</v>
      </c>
      <c r="J86" s="19" t="n">
        <f aca="false">IFERROR(SQRT(2*(C86*365)*05_Assumptions!$D$26/(05_Assumptions!$D$27*E86)),0)</f>
        <v>670.906195000709</v>
      </c>
      <c r="K86" s="19" t="n">
        <f aca="false">02_SKU_Master!K86</f>
        <v>103</v>
      </c>
      <c r="L86" s="19" t="n">
        <f aca="false">IFERROR(K86/C86,0)</f>
        <v>0.769230769230769</v>
      </c>
      <c r="M86" s="7" t="str">
        <f aca="false">IF(K86&lt;I86,"CRITICAL - Below ROP",IF(K86&lt;I86*(1+05_Assumptions!$D$32),"WATCH - Near ROP","OK"))</f>
        <v>CRITICAL - Below ROP</v>
      </c>
      <c r="N86" s="7" t="str">
        <f aca="false">IF(L86&gt;05_Assumptions!$D$31,"OVERSTOCK RISK","OK")</f>
        <v>OK</v>
      </c>
      <c r="O86" s="7" t="str">
        <f aca="false">IF(K86&lt;I86,"REORDER NOW",IF(L86&gt;05_Assumptions!$D$31,"REDUCE / HOLD ORDERS","MONITOR"))</f>
        <v>REORDER NOW</v>
      </c>
    </row>
    <row r="87" customFormat="false" ht="15" hidden="false" customHeight="false" outlineLevel="0" collapsed="false">
      <c r="A87" s="7" t="str">
        <f aca="false">02_SKU_Master!A87</f>
        <v>S001-P0002</v>
      </c>
      <c r="B87" s="7" t="str">
        <f aca="false">02_SKU_Master!D87</f>
        <v>Clothing</v>
      </c>
      <c r="C87" s="19" t="n">
        <f aca="false">02_SKU_Master!F87</f>
        <v>131</v>
      </c>
      <c r="D87" s="19" t="n">
        <f aca="false">02_SKU_Master!G87</f>
        <v>104.3</v>
      </c>
      <c r="E87" s="20" t="n">
        <f aca="false">02_SKU_Master!E87</f>
        <v>55.45</v>
      </c>
      <c r="F87" s="7" t="n">
        <f aca="false">IFERROR(INDEX(05_Assumptions!$C$18:$C$22,MATCH(B87,05_Assumptions!$B$18:$B$22,0)),10)</f>
        <v>7</v>
      </c>
      <c r="G87" s="19" t="n">
        <f aca="false">C87*F87</f>
        <v>917</v>
      </c>
      <c r="H87" s="19" t="n">
        <f aca="false">05_Assumptions!$D$13*D87*SQRT(F87)</f>
        <v>453.913217382766</v>
      </c>
      <c r="I87" s="19" t="n">
        <f aca="false">G87+H87</f>
        <v>1370.91321738277</v>
      </c>
      <c r="J87" s="19" t="n">
        <f aca="false">IFERROR(SQRT(2*(C87*365)*05_Assumptions!$D$26/(05_Assumptions!$D$27*E87)),0)</f>
        <v>656.623326547753</v>
      </c>
      <c r="K87" s="19" t="n">
        <f aca="false">02_SKU_Master!K87</f>
        <v>217</v>
      </c>
      <c r="L87" s="19" t="n">
        <f aca="false">IFERROR(K87/C87,0)</f>
        <v>1.65648854961832</v>
      </c>
      <c r="M87" s="7" t="str">
        <f aca="false">IF(K87&lt;I87,"CRITICAL - Below ROP",IF(K87&lt;I87*(1+05_Assumptions!$D$32),"WATCH - Near ROP","OK"))</f>
        <v>CRITICAL - Below ROP</v>
      </c>
      <c r="N87" s="7" t="str">
        <f aca="false">IF(L87&gt;05_Assumptions!$D$31,"OVERSTOCK RISK","OK")</f>
        <v>OK</v>
      </c>
      <c r="O87" s="7" t="str">
        <f aca="false">IF(K87&lt;I87,"REORDER NOW",IF(L87&gt;05_Assumptions!$D$31,"REDUCE / HOLD ORDERS","MONITOR"))</f>
        <v>REORDER NOW</v>
      </c>
    </row>
    <row r="88" customFormat="false" ht="15" hidden="false" customHeight="false" outlineLevel="0" collapsed="false">
      <c r="A88" s="7" t="str">
        <f aca="false">02_SKU_Master!A88</f>
        <v>S003-P0001</v>
      </c>
      <c r="B88" s="7" t="str">
        <f aca="false">02_SKU_Master!D88</f>
        <v>Groceries</v>
      </c>
      <c r="C88" s="19" t="n">
        <f aca="false">02_SKU_Master!F88</f>
        <v>129.4</v>
      </c>
      <c r="D88" s="19" t="n">
        <f aca="false">02_SKU_Master!G88</f>
        <v>106.4</v>
      </c>
      <c r="E88" s="20" t="n">
        <f aca="false">02_SKU_Master!E88</f>
        <v>56.08</v>
      </c>
      <c r="F88" s="7" t="n">
        <f aca="false">IFERROR(INDEX(05_Assumptions!$C$18:$C$22,MATCH(B88,05_Assumptions!$B$18:$B$22,0)),10)</f>
        <v>3</v>
      </c>
      <c r="G88" s="19" t="n">
        <f aca="false">C88*F88</f>
        <v>388.2</v>
      </c>
      <c r="H88" s="19" t="n">
        <f aca="false">05_Assumptions!$D$13*D88*SQRT(F88)</f>
        <v>303.138959726573</v>
      </c>
      <c r="I88" s="19" t="n">
        <f aca="false">G88+H88</f>
        <v>691.338959726573</v>
      </c>
      <c r="J88" s="19" t="n">
        <f aca="false">IFERROR(SQRT(2*(C88*365)*05_Assumptions!$D$26/(05_Assumptions!$D$27*E88)),0)</f>
        <v>648.925096073374</v>
      </c>
      <c r="K88" s="19" t="n">
        <f aca="false">02_SKU_Master!K88</f>
        <v>138</v>
      </c>
      <c r="L88" s="19" t="n">
        <f aca="false">IFERROR(K88/C88,0)</f>
        <v>1.06646058732612</v>
      </c>
      <c r="M88" s="7" t="str">
        <f aca="false">IF(K88&lt;I88,"CRITICAL - Below ROP",IF(K88&lt;I88*(1+05_Assumptions!$D$32),"WATCH - Near ROP","OK"))</f>
        <v>CRITICAL - Below ROP</v>
      </c>
      <c r="N88" s="7" t="str">
        <f aca="false">IF(L88&gt;05_Assumptions!$D$31,"OVERSTOCK RISK","OK")</f>
        <v>OK</v>
      </c>
      <c r="O88" s="7" t="str">
        <f aca="false">IF(K88&lt;I88,"REORDER NOW",IF(L88&gt;05_Assumptions!$D$31,"REDUCE / HOLD ORDERS","MONITOR"))</f>
        <v>REORDER NOW</v>
      </c>
    </row>
    <row r="89" customFormat="false" ht="15" hidden="false" customHeight="false" outlineLevel="0" collapsed="false">
      <c r="A89" s="7" t="str">
        <f aca="false">02_SKU_Master!A89</f>
        <v>S003-P0018</v>
      </c>
      <c r="B89" s="7" t="str">
        <f aca="false">02_SKU_Master!D89</f>
        <v>Electronics</v>
      </c>
      <c r="C89" s="19" t="n">
        <f aca="false">02_SKU_Master!F89</f>
        <v>132</v>
      </c>
      <c r="D89" s="19" t="n">
        <f aca="false">02_SKU_Master!G89</f>
        <v>108.3</v>
      </c>
      <c r="E89" s="20" t="n">
        <f aca="false">02_SKU_Master!E89</f>
        <v>54.8</v>
      </c>
      <c r="F89" s="7" t="n">
        <f aca="false">IFERROR(INDEX(05_Assumptions!$C$18:$C$22,MATCH(B89,05_Assumptions!$B$18:$B$22,0)),10)</f>
        <v>10</v>
      </c>
      <c r="G89" s="19" t="n">
        <f aca="false">C89*F89</f>
        <v>1320</v>
      </c>
      <c r="H89" s="19" t="n">
        <f aca="false">05_Assumptions!$D$13*D89*SQRT(F89)</f>
        <v>563.336585663748</v>
      </c>
      <c r="I89" s="19" t="n">
        <f aca="false">G89+H89</f>
        <v>1883.33658566375</v>
      </c>
      <c r="J89" s="19" t="n">
        <f aca="false">IFERROR(SQRT(2*(C89*365)*05_Assumptions!$D$26/(05_Assumptions!$D$27*E89)),0)</f>
        <v>663.022277262224</v>
      </c>
      <c r="K89" s="19" t="n">
        <f aca="false">02_SKU_Master!K89</f>
        <v>375</v>
      </c>
      <c r="L89" s="19" t="n">
        <f aca="false">IFERROR(K89/C89,0)</f>
        <v>2.84090909090909</v>
      </c>
      <c r="M89" s="7" t="str">
        <f aca="false">IF(K89&lt;I89,"CRITICAL - Below ROP",IF(K89&lt;I89*(1+05_Assumptions!$D$32),"WATCH - Near ROP","OK"))</f>
        <v>CRITICAL - Below ROP</v>
      </c>
      <c r="N89" s="7" t="str">
        <f aca="false">IF(L89&gt;05_Assumptions!$D$31,"OVERSTOCK RISK","OK")</f>
        <v>OK</v>
      </c>
      <c r="O89" s="7" t="str">
        <f aca="false">IF(K89&lt;I89,"REORDER NOW",IF(L89&gt;05_Assumptions!$D$31,"REDUCE / HOLD ORDERS","MONITOR"))</f>
        <v>REORDER NOW</v>
      </c>
    </row>
    <row r="90" customFormat="false" ht="15" hidden="false" customHeight="false" outlineLevel="0" collapsed="false">
      <c r="A90" s="7" t="str">
        <f aca="false">02_SKU_Master!A90</f>
        <v>S001-P0006</v>
      </c>
      <c r="B90" s="7" t="str">
        <f aca="false">02_SKU_Master!D90</f>
        <v>Groceries</v>
      </c>
      <c r="C90" s="19" t="n">
        <f aca="false">02_SKU_Master!F90</f>
        <v>130.7</v>
      </c>
      <c r="D90" s="19" t="n">
        <f aca="false">02_SKU_Master!G90</f>
        <v>109</v>
      </c>
      <c r="E90" s="20" t="n">
        <f aca="false">02_SKU_Master!E90</f>
        <v>55.29</v>
      </c>
      <c r="F90" s="7" t="n">
        <f aca="false">IFERROR(INDEX(05_Assumptions!$C$18:$C$22,MATCH(B90,05_Assumptions!$B$18:$B$22,0)),10)</f>
        <v>3</v>
      </c>
      <c r="G90" s="19" t="n">
        <f aca="false">C90*F90</f>
        <v>392.1</v>
      </c>
      <c r="H90" s="19" t="n">
        <f aca="false">05_Assumptions!$D$13*D90*SQRT(F90)</f>
        <v>310.546490697335</v>
      </c>
      <c r="I90" s="19" t="n">
        <f aca="false">G90+H90</f>
        <v>702.646490697335</v>
      </c>
      <c r="J90" s="19" t="n">
        <f aca="false">IFERROR(SQRT(2*(C90*365)*05_Assumptions!$D$26/(05_Assumptions!$D$27*E90)),0)</f>
        <v>656.819341734004</v>
      </c>
      <c r="K90" s="19" t="n">
        <f aca="false">02_SKU_Master!K90</f>
        <v>305</v>
      </c>
      <c r="L90" s="19" t="n">
        <f aca="false">IFERROR(K90/C90,0)</f>
        <v>2.3335883703137</v>
      </c>
      <c r="M90" s="7" t="str">
        <f aca="false">IF(K90&lt;I90,"CRITICAL - Below ROP",IF(K90&lt;I90*(1+05_Assumptions!$D$32),"WATCH - Near ROP","OK"))</f>
        <v>CRITICAL - Below ROP</v>
      </c>
      <c r="N90" s="7" t="str">
        <f aca="false">IF(L90&gt;05_Assumptions!$D$31,"OVERSTOCK RISK","OK")</f>
        <v>OK</v>
      </c>
      <c r="O90" s="7" t="str">
        <f aca="false">IF(K90&lt;I90,"REORDER NOW",IF(L90&gt;05_Assumptions!$D$31,"REDUCE / HOLD ORDERS","MONITOR"))</f>
        <v>REORDER NOW</v>
      </c>
    </row>
    <row r="91" customFormat="false" ht="15" hidden="false" customHeight="false" outlineLevel="0" collapsed="false">
      <c r="A91" s="7" t="str">
        <f aca="false">02_SKU_Master!A91</f>
        <v>S002-P0006</v>
      </c>
      <c r="B91" s="7" t="str">
        <f aca="false">02_SKU_Master!D91</f>
        <v>Groceries</v>
      </c>
      <c r="C91" s="19" t="n">
        <f aca="false">02_SKU_Master!F91</f>
        <v>133.3</v>
      </c>
      <c r="D91" s="19" t="n">
        <f aca="false">02_SKU_Master!G91</f>
        <v>105</v>
      </c>
      <c r="E91" s="20" t="n">
        <f aca="false">02_SKU_Master!E91</f>
        <v>54.18</v>
      </c>
      <c r="F91" s="7" t="n">
        <f aca="false">IFERROR(INDEX(05_Assumptions!$C$18:$C$22,MATCH(B91,05_Assumptions!$B$18:$B$22,0)),10)</f>
        <v>3</v>
      </c>
      <c r="G91" s="19" t="n">
        <f aca="false">C91*F91</f>
        <v>399.9</v>
      </c>
      <c r="H91" s="19" t="n">
        <f aca="false">05_Assumptions!$D$13*D91*SQRT(F91)</f>
        <v>299.150289203855</v>
      </c>
      <c r="I91" s="19" t="n">
        <f aca="false">G91+H91</f>
        <v>699.050289203855</v>
      </c>
      <c r="J91" s="19" t="n">
        <f aca="false">IFERROR(SQRT(2*(C91*365)*05_Assumptions!$D$26/(05_Assumptions!$D$27*E91)),0)</f>
        <v>670.080544791398</v>
      </c>
      <c r="K91" s="19" t="n">
        <f aca="false">02_SKU_Master!K91</f>
        <v>160</v>
      </c>
      <c r="L91" s="19" t="n">
        <f aca="false">IFERROR(K91/C91,0)</f>
        <v>1.20030007501875</v>
      </c>
      <c r="M91" s="7" t="str">
        <f aca="false">IF(K91&lt;I91,"CRITICAL - Below ROP",IF(K91&lt;I91*(1+05_Assumptions!$D$32),"WATCH - Near ROP","OK"))</f>
        <v>CRITICAL - Below ROP</v>
      </c>
      <c r="N91" s="7" t="str">
        <f aca="false">IF(L91&gt;05_Assumptions!$D$31,"OVERSTOCK RISK","OK")</f>
        <v>OK</v>
      </c>
      <c r="O91" s="7" t="str">
        <f aca="false">IF(K91&lt;I91,"REORDER NOW",IF(L91&gt;05_Assumptions!$D$31,"REDUCE / HOLD ORDERS","MONITOR"))</f>
        <v>REORDER NOW</v>
      </c>
    </row>
    <row r="92" customFormat="false" ht="15" hidden="false" customHeight="false" outlineLevel="0" collapsed="false">
      <c r="A92" s="7" t="str">
        <f aca="false">02_SKU_Master!A92</f>
        <v>S002-P0002</v>
      </c>
      <c r="B92" s="7" t="str">
        <f aca="false">02_SKU_Master!D92</f>
        <v>Electronics</v>
      </c>
      <c r="C92" s="19" t="n">
        <f aca="false">02_SKU_Master!F92</f>
        <v>128.8</v>
      </c>
      <c r="D92" s="19" t="n">
        <f aca="false">02_SKU_Master!G92</f>
        <v>106.1</v>
      </c>
      <c r="E92" s="20" t="n">
        <f aca="false">02_SKU_Master!E92</f>
        <v>56.04</v>
      </c>
      <c r="F92" s="7" t="n">
        <f aca="false">IFERROR(INDEX(05_Assumptions!$C$18:$C$22,MATCH(B92,05_Assumptions!$B$18:$B$22,0)),10)</f>
        <v>10</v>
      </c>
      <c r="G92" s="19" t="n">
        <f aca="false">C92*F92</f>
        <v>1288</v>
      </c>
      <c r="H92" s="19" t="n">
        <f aca="false">05_Assumptions!$D$13*D92*SQRT(F92)</f>
        <v>551.892998512684</v>
      </c>
      <c r="I92" s="19" t="n">
        <f aca="false">G92+H92</f>
        <v>1839.89299851268</v>
      </c>
      <c r="J92" s="19" t="n">
        <f aca="false">IFERROR(SQRT(2*(C92*365)*05_Assumptions!$D$26/(05_Assumptions!$D$27*E92)),0)</f>
        <v>647.64989969638</v>
      </c>
      <c r="K92" s="19" t="n">
        <f aca="false">02_SKU_Master!K92</f>
        <v>364</v>
      </c>
      <c r="L92" s="19" t="n">
        <f aca="false">IFERROR(K92/C92,0)</f>
        <v>2.82608695652174</v>
      </c>
      <c r="M92" s="7" t="str">
        <f aca="false">IF(K92&lt;I92,"CRITICAL - Below ROP",IF(K92&lt;I92*(1+05_Assumptions!$D$32),"WATCH - Near ROP","OK"))</f>
        <v>CRITICAL - Below ROP</v>
      </c>
      <c r="N92" s="7" t="str">
        <f aca="false">IF(L92&gt;05_Assumptions!$D$31,"OVERSTOCK RISK","OK")</f>
        <v>OK</v>
      </c>
      <c r="O92" s="7" t="str">
        <f aca="false">IF(K92&lt;I92,"REORDER NOW",IF(L92&gt;05_Assumptions!$D$31,"REDUCE / HOLD ORDERS","MONITOR"))</f>
        <v>REORDER NOW</v>
      </c>
    </row>
    <row r="93" customFormat="false" ht="15" hidden="false" customHeight="false" outlineLevel="0" collapsed="false">
      <c r="A93" s="7" t="str">
        <f aca="false">02_SKU_Master!A93</f>
        <v>S002-P0008</v>
      </c>
      <c r="B93" s="7" t="str">
        <f aca="false">02_SKU_Master!D93</f>
        <v>Electronics</v>
      </c>
      <c r="C93" s="19" t="n">
        <f aca="false">02_SKU_Master!F93</f>
        <v>128.9</v>
      </c>
      <c r="D93" s="19" t="n">
        <f aca="false">02_SKU_Master!G93</f>
        <v>106.8</v>
      </c>
      <c r="E93" s="20" t="n">
        <f aca="false">02_SKU_Master!E93</f>
        <v>55.96</v>
      </c>
      <c r="F93" s="7" t="n">
        <f aca="false">IFERROR(INDEX(05_Assumptions!$C$18:$C$22,MATCH(B93,05_Assumptions!$B$18:$B$22,0)),10)</f>
        <v>10</v>
      </c>
      <c r="G93" s="19" t="n">
        <f aca="false">C93*F93</f>
        <v>1289</v>
      </c>
      <c r="H93" s="19" t="n">
        <f aca="false">05_Assumptions!$D$13*D93*SQRT(F93)</f>
        <v>555.534139878931</v>
      </c>
      <c r="I93" s="19" t="n">
        <f aca="false">G93+H93</f>
        <v>1844.53413987893</v>
      </c>
      <c r="J93" s="19" t="n">
        <f aca="false">IFERROR(SQRT(2*(C93*365)*05_Assumptions!$D$26/(05_Assumptions!$D$27*E93)),0)</f>
        <v>648.364219820897</v>
      </c>
      <c r="K93" s="19" t="n">
        <f aca="false">02_SKU_Master!K93</f>
        <v>218</v>
      </c>
      <c r="L93" s="19" t="n">
        <f aca="false">IFERROR(K93/C93,0)</f>
        <v>1.69123351435221</v>
      </c>
      <c r="M93" s="7" t="str">
        <f aca="false">IF(K93&lt;I93,"CRITICAL - Below ROP",IF(K93&lt;I93*(1+05_Assumptions!$D$32),"WATCH - Near ROP","OK"))</f>
        <v>CRITICAL - Below ROP</v>
      </c>
      <c r="N93" s="7" t="str">
        <f aca="false">IF(L93&gt;05_Assumptions!$D$31,"OVERSTOCK RISK","OK")</f>
        <v>OK</v>
      </c>
      <c r="O93" s="7" t="str">
        <f aca="false">IF(K93&lt;I93,"REORDER NOW",IF(L93&gt;05_Assumptions!$D$31,"REDUCE / HOLD ORDERS","MONITOR"))</f>
        <v>REORDER NOW</v>
      </c>
    </row>
    <row r="94" customFormat="false" ht="15" hidden="false" customHeight="false" outlineLevel="0" collapsed="false">
      <c r="A94" s="7" t="str">
        <f aca="false">02_SKU_Master!A94</f>
        <v>S001-P0011</v>
      </c>
      <c r="B94" s="7" t="str">
        <f aca="false">02_SKU_Master!D94</f>
        <v>Toys</v>
      </c>
      <c r="C94" s="19" t="n">
        <f aca="false">02_SKU_Master!F94</f>
        <v>132.5</v>
      </c>
      <c r="D94" s="19" t="n">
        <f aca="false">02_SKU_Master!G94</f>
        <v>109.9</v>
      </c>
      <c r="E94" s="20" t="n">
        <f aca="false">02_SKU_Master!E94</f>
        <v>54.38</v>
      </c>
      <c r="F94" s="7" t="n">
        <f aca="false">IFERROR(INDEX(05_Assumptions!$C$18:$C$22,MATCH(B94,05_Assumptions!$B$18:$B$22,0)),10)</f>
        <v>8</v>
      </c>
      <c r="G94" s="19" t="n">
        <f aca="false">C94*F94</f>
        <v>1060</v>
      </c>
      <c r="H94" s="19" t="n">
        <f aca="false">05_Assumptions!$D$13*D94*SQRT(F94)</f>
        <v>511.307527546701</v>
      </c>
      <c r="I94" s="19" t="n">
        <f aca="false">G94+H94</f>
        <v>1571.3075275467</v>
      </c>
      <c r="J94" s="19" t="n">
        <f aca="false">IFERROR(SQRT(2*(C94*365)*05_Assumptions!$D$26/(05_Assumptions!$D$27*E94)),0)</f>
        <v>666.837127281799</v>
      </c>
      <c r="K94" s="19" t="n">
        <f aca="false">02_SKU_Master!K94</f>
        <v>449</v>
      </c>
      <c r="L94" s="19" t="n">
        <f aca="false">IFERROR(K94/C94,0)</f>
        <v>3.38867924528302</v>
      </c>
      <c r="M94" s="7" t="str">
        <f aca="false">IF(K94&lt;I94,"CRITICAL - Below ROP",IF(K94&lt;I94*(1+05_Assumptions!$D$32),"WATCH - Near ROP","OK"))</f>
        <v>CRITICAL - Below ROP</v>
      </c>
      <c r="N94" s="7" t="str">
        <f aca="false">IF(L94&gt;05_Assumptions!$D$31,"OVERSTOCK RISK","OK")</f>
        <v>OK</v>
      </c>
      <c r="O94" s="7" t="str">
        <f aca="false">IF(K94&lt;I94,"REORDER NOW",IF(L94&gt;05_Assumptions!$D$31,"REDUCE / HOLD ORDERS","MONITOR"))</f>
        <v>REORDER NOW</v>
      </c>
    </row>
    <row r="95" customFormat="false" ht="15" hidden="false" customHeight="false" outlineLevel="0" collapsed="false">
      <c r="A95" s="7" t="str">
        <f aca="false">02_SKU_Master!A95</f>
        <v>S002-P0019</v>
      </c>
      <c r="B95" s="7" t="str">
        <f aca="false">02_SKU_Master!D95</f>
        <v>Clothing</v>
      </c>
      <c r="C95" s="19" t="n">
        <f aca="false">02_SKU_Master!F95</f>
        <v>131.8</v>
      </c>
      <c r="D95" s="19" t="n">
        <f aca="false">02_SKU_Master!G95</f>
        <v>107.4</v>
      </c>
      <c r="E95" s="20" t="n">
        <f aca="false">02_SKU_Master!E95</f>
        <v>54.49</v>
      </c>
      <c r="F95" s="7" t="n">
        <f aca="false">IFERROR(INDEX(05_Assumptions!$C$18:$C$22,MATCH(B95,05_Assumptions!$B$18:$B$22,0)),10)</f>
        <v>7</v>
      </c>
      <c r="G95" s="19" t="n">
        <f aca="false">C95*F95</f>
        <v>922.6</v>
      </c>
      <c r="H95" s="19" t="n">
        <f aca="false">05_Assumptions!$D$13*D95*SQRT(F95)</f>
        <v>467.404406010634</v>
      </c>
      <c r="I95" s="19" t="n">
        <f aca="false">G95+H95</f>
        <v>1390.00440601063</v>
      </c>
      <c r="J95" s="19" t="n">
        <f aca="false">IFERROR(SQRT(2*(C95*365)*05_Assumptions!$D$26/(05_Assumptions!$D$27*E95)),0)</f>
        <v>664.401700866112</v>
      </c>
      <c r="K95" s="19" t="n">
        <f aca="false">02_SKU_Master!K95</f>
        <v>409</v>
      </c>
      <c r="L95" s="19" t="n">
        <f aca="false">IFERROR(K95/C95,0)</f>
        <v>3.10318664643399</v>
      </c>
      <c r="M95" s="7" t="str">
        <f aca="false">IF(K95&lt;I95,"CRITICAL - Below ROP",IF(K95&lt;I95*(1+05_Assumptions!$D$32),"WATCH - Near ROP","OK"))</f>
        <v>CRITICAL - Below ROP</v>
      </c>
      <c r="N95" s="7" t="str">
        <f aca="false">IF(L95&gt;05_Assumptions!$D$31,"OVERSTOCK RISK","OK")</f>
        <v>OK</v>
      </c>
      <c r="O95" s="7" t="str">
        <f aca="false">IF(K95&lt;I95,"REORDER NOW",IF(L95&gt;05_Assumptions!$D$31,"REDUCE / HOLD ORDERS","MONITOR"))</f>
        <v>REORDER NOW</v>
      </c>
    </row>
    <row r="96" customFormat="false" ht="15" hidden="false" customHeight="false" outlineLevel="0" collapsed="false">
      <c r="A96" s="7" t="str">
        <f aca="false">02_SKU_Master!A96</f>
        <v>S002-P0015</v>
      </c>
      <c r="B96" s="7" t="str">
        <f aca="false">02_SKU_Master!D96</f>
        <v>Furniture</v>
      </c>
      <c r="C96" s="19" t="n">
        <f aca="false">02_SKU_Master!F96</f>
        <v>130.8</v>
      </c>
      <c r="D96" s="19" t="n">
        <f aca="false">02_SKU_Master!G96</f>
        <v>104</v>
      </c>
      <c r="E96" s="20" t="n">
        <f aca="false">02_SKU_Master!E96</f>
        <v>54.9</v>
      </c>
      <c r="F96" s="7" t="n">
        <f aca="false">IFERROR(INDEX(05_Assumptions!$C$18:$C$22,MATCH(B96,05_Assumptions!$B$18:$B$22,0)),10)</f>
        <v>15</v>
      </c>
      <c r="G96" s="19" t="n">
        <f aca="false">C96*F96</f>
        <v>1962</v>
      </c>
      <c r="H96" s="19" t="n">
        <f aca="false">05_Assumptions!$D$13*D96*SQRT(F96)</f>
        <v>662.549711842364</v>
      </c>
      <c r="I96" s="19" t="n">
        <f aca="false">G96+H96</f>
        <v>2624.54971184236</v>
      </c>
      <c r="J96" s="19" t="n">
        <f aca="false">IFERROR(SQRT(2*(C96*365)*05_Assumptions!$D$26/(05_Assumptions!$D$27*E96)),0)</f>
        <v>659.400290543915</v>
      </c>
      <c r="K96" s="19" t="n">
        <f aca="false">02_SKU_Master!K96</f>
        <v>433</v>
      </c>
      <c r="L96" s="19" t="n">
        <f aca="false">IFERROR(K96/C96,0)</f>
        <v>3.31039755351682</v>
      </c>
      <c r="M96" s="7" t="str">
        <f aca="false">IF(K96&lt;I96,"CRITICAL - Below ROP",IF(K96&lt;I96*(1+05_Assumptions!$D$32),"WATCH - Near ROP","OK"))</f>
        <v>CRITICAL - Below ROP</v>
      </c>
      <c r="N96" s="7" t="str">
        <f aca="false">IF(L96&gt;05_Assumptions!$D$31,"OVERSTOCK RISK","OK")</f>
        <v>OK</v>
      </c>
      <c r="O96" s="7" t="str">
        <f aca="false">IF(K96&lt;I96,"REORDER NOW",IF(L96&gt;05_Assumptions!$D$31,"REDUCE / HOLD ORDERS","MONITOR"))</f>
        <v>REORDER NOW</v>
      </c>
    </row>
    <row r="97" customFormat="false" ht="15" hidden="false" customHeight="false" outlineLevel="0" collapsed="false">
      <c r="A97" s="7" t="str">
        <f aca="false">02_SKU_Master!A97</f>
        <v>S001-P0005</v>
      </c>
      <c r="B97" s="7" t="str">
        <f aca="false">02_SKU_Master!D97</f>
        <v>Groceries</v>
      </c>
      <c r="C97" s="19" t="n">
        <f aca="false">02_SKU_Master!F97</f>
        <v>133.1</v>
      </c>
      <c r="D97" s="19" t="n">
        <f aca="false">02_SKU_Master!G97</f>
        <v>107.4</v>
      </c>
      <c r="E97" s="20" t="n">
        <f aca="false">02_SKU_Master!E97</f>
        <v>53.89</v>
      </c>
      <c r="F97" s="7" t="n">
        <f aca="false">IFERROR(INDEX(05_Assumptions!$C$18:$C$22,MATCH(B97,05_Assumptions!$B$18:$B$22,0)),10)</f>
        <v>3</v>
      </c>
      <c r="G97" s="19" t="n">
        <f aca="false">C97*F97</f>
        <v>399.3</v>
      </c>
      <c r="H97" s="19" t="n">
        <f aca="false">05_Assumptions!$D$13*D97*SQRT(F97)</f>
        <v>305.988010099943</v>
      </c>
      <c r="I97" s="19" t="n">
        <f aca="false">G97+H97</f>
        <v>705.288010099943</v>
      </c>
      <c r="J97" s="19" t="n">
        <f aca="false">IFERROR(SQRT(2*(C97*365)*05_Assumptions!$D$26/(05_Assumptions!$D$27*E97)),0)</f>
        <v>671.376862735575</v>
      </c>
      <c r="K97" s="19" t="n">
        <f aca="false">02_SKU_Master!K97</f>
        <v>471</v>
      </c>
      <c r="L97" s="19" t="n">
        <f aca="false">IFERROR(K97/C97,0)</f>
        <v>3.53869271224643</v>
      </c>
      <c r="M97" s="7" t="str">
        <f aca="false">IF(K97&lt;I97,"CRITICAL - Below ROP",IF(K97&lt;I97*(1+05_Assumptions!$D$32),"WATCH - Near ROP","OK"))</f>
        <v>CRITICAL - Below ROP</v>
      </c>
      <c r="N97" s="7" t="str">
        <f aca="false">IF(L97&gt;05_Assumptions!$D$31,"OVERSTOCK RISK","OK")</f>
        <v>OK</v>
      </c>
      <c r="O97" s="7" t="str">
        <f aca="false">IF(K97&lt;I97,"REORDER NOW",IF(L97&gt;05_Assumptions!$D$31,"REDUCE / HOLD ORDERS","MONITOR"))</f>
        <v>REORDER NOW</v>
      </c>
    </row>
    <row r="98" customFormat="false" ht="15" hidden="false" customHeight="false" outlineLevel="0" collapsed="false">
      <c r="A98" s="7" t="str">
        <f aca="false">02_SKU_Master!A98</f>
        <v>S004-P0013</v>
      </c>
      <c r="B98" s="7" t="str">
        <f aca="false">02_SKU_Master!D98</f>
        <v>Groceries</v>
      </c>
      <c r="C98" s="19" t="n">
        <f aca="false">02_SKU_Master!F98</f>
        <v>131.4</v>
      </c>
      <c r="D98" s="19" t="n">
        <f aca="false">02_SKU_Master!G98</f>
        <v>104.8</v>
      </c>
      <c r="E98" s="20" t="n">
        <f aca="false">02_SKU_Master!E98</f>
        <v>54.3</v>
      </c>
      <c r="F98" s="7" t="n">
        <f aca="false">IFERROR(INDEX(05_Assumptions!$C$18:$C$22,MATCH(B98,05_Assumptions!$B$18:$B$22,0)),10)</f>
        <v>3</v>
      </c>
      <c r="G98" s="19" t="n">
        <f aca="false">C98*F98</f>
        <v>394.2</v>
      </c>
      <c r="H98" s="19" t="n">
        <f aca="false">05_Assumptions!$D$13*D98*SQRT(F98)</f>
        <v>298.580479129181</v>
      </c>
      <c r="I98" s="19" t="n">
        <f aca="false">G98+H98</f>
        <v>692.780479129181</v>
      </c>
      <c r="J98" s="19" t="n">
        <f aca="false">IFERROR(SQRT(2*(C98*365)*05_Assumptions!$D$26/(05_Assumptions!$D$27*E98)),0)</f>
        <v>664.552356292673</v>
      </c>
      <c r="K98" s="19" t="n">
        <f aca="false">02_SKU_Master!K98</f>
        <v>113</v>
      </c>
      <c r="L98" s="19" t="n">
        <f aca="false">IFERROR(K98/C98,0)</f>
        <v>0.859969558599696</v>
      </c>
      <c r="M98" s="7" t="str">
        <f aca="false">IF(K98&lt;I98,"CRITICAL - Below ROP",IF(K98&lt;I98*(1+05_Assumptions!$D$32),"WATCH - Near ROP","OK"))</f>
        <v>CRITICAL - Below ROP</v>
      </c>
      <c r="N98" s="7" t="str">
        <f aca="false">IF(L98&gt;05_Assumptions!$D$31,"OVERSTOCK RISK","OK")</f>
        <v>OK</v>
      </c>
      <c r="O98" s="7" t="str">
        <f aca="false">IF(K98&lt;I98,"REORDER NOW",IF(L98&gt;05_Assumptions!$D$31,"REDUCE / HOLD ORDERS","MONITOR"))</f>
        <v>REORDER NOW</v>
      </c>
    </row>
    <row r="99" customFormat="false" ht="15" hidden="false" customHeight="false" outlineLevel="0" collapsed="false">
      <c r="A99" s="7" t="str">
        <f aca="false">02_SKU_Master!A99</f>
        <v>S004-P0003</v>
      </c>
      <c r="B99" s="7" t="str">
        <f aca="false">02_SKU_Master!D99</f>
        <v>Clothing</v>
      </c>
      <c r="C99" s="19" t="n">
        <f aca="false">02_SKU_Master!F99</f>
        <v>129.2</v>
      </c>
      <c r="D99" s="19" t="n">
        <f aca="false">02_SKU_Master!G99</f>
        <v>107.5</v>
      </c>
      <c r="E99" s="20" t="n">
        <f aca="false">02_SKU_Master!E99</f>
        <v>54.9</v>
      </c>
      <c r="F99" s="7" t="n">
        <f aca="false">IFERROR(INDEX(05_Assumptions!$C$18:$C$22,MATCH(B99,05_Assumptions!$B$18:$B$22,0)),10)</f>
        <v>7</v>
      </c>
      <c r="G99" s="19" t="n">
        <f aca="false">C99*F99</f>
        <v>904.4</v>
      </c>
      <c r="H99" s="19" t="n">
        <f aca="false">05_Assumptions!$D$13*D99*SQRT(F99)</f>
        <v>467.839605643791</v>
      </c>
      <c r="I99" s="19" t="n">
        <f aca="false">G99+H99</f>
        <v>1372.23960564379</v>
      </c>
      <c r="J99" s="19" t="n">
        <f aca="false">IFERROR(SQRT(2*(C99*365)*05_Assumptions!$D$26/(05_Assumptions!$D$27*E99)),0)</f>
        <v>655.354851805542</v>
      </c>
      <c r="K99" s="19" t="n">
        <f aca="false">02_SKU_Master!K99</f>
        <v>419</v>
      </c>
      <c r="L99" s="19" t="n">
        <f aca="false">IFERROR(K99/C99,0)</f>
        <v>3.24303405572755</v>
      </c>
      <c r="M99" s="7" t="str">
        <f aca="false">IF(K99&lt;I99,"CRITICAL - Below ROP",IF(K99&lt;I99*(1+05_Assumptions!$D$32),"WATCH - Near ROP","OK"))</f>
        <v>CRITICAL - Below ROP</v>
      </c>
      <c r="N99" s="7" t="str">
        <f aca="false">IF(L99&gt;05_Assumptions!$D$31,"OVERSTOCK RISK","OK")</f>
        <v>OK</v>
      </c>
      <c r="O99" s="7" t="str">
        <f aca="false">IF(K99&lt;I99,"REORDER NOW",IF(L99&gt;05_Assumptions!$D$31,"REDUCE / HOLD ORDERS","MONITOR"))</f>
        <v>REORDER NOW</v>
      </c>
    </row>
    <row r="100" customFormat="false" ht="15" hidden="false" customHeight="false" outlineLevel="0" collapsed="false">
      <c r="A100" s="7" t="str">
        <f aca="false">02_SKU_Master!A100</f>
        <v>S002-P0017</v>
      </c>
      <c r="B100" s="7" t="str">
        <f aca="false">02_SKU_Master!D100</f>
        <v>Furniture</v>
      </c>
      <c r="C100" s="19" t="n">
        <f aca="false">02_SKU_Master!F100</f>
        <v>132.3</v>
      </c>
      <c r="D100" s="19" t="n">
        <f aca="false">02_SKU_Master!G100</f>
        <v>106.5</v>
      </c>
      <c r="E100" s="20" t="n">
        <f aca="false">02_SKU_Master!E100</f>
        <v>53.28</v>
      </c>
      <c r="F100" s="7" t="n">
        <f aca="false">IFERROR(INDEX(05_Assumptions!$C$18:$C$22,MATCH(B100,05_Assumptions!$B$18:$B$22,0)),10)</f>
        <v>15</v>
      </c>
      <c r="G100" s="19" t="n">
        <f aca="false">C100*F100</f>
        <v>1984.5</v>
      </c>
      <c r="H100" s="19" t="n">
        <f aca="false">05_Assumptions!$D$13*D100*SQRT(F100)</f>
        <v>678.476387607806</v>
      </c>
      <c r="I100" s="19" t="n">
        <f aca="false">G100+H100</f>
        <v>2662.97638760781</v>
      </c>
      <c r="J100" s="19" t="n">
        <f aca="false">IFERROR(SQRT(2*(C100*365)*05_Assumptions!$D$26/(05_Assumptions!$D$27*E100)),0)</f>
        <v>673.176967616785</v>
      </c>
      <c r="K100" s="19" t="n">
        <f aca="false">02_SKU_Master!K100</f>
        <v>236</v>
      </c>
      <c r="L100" s="19" t="n">
        <f aca="false">IFERROR(K100/C100,0)</f>
        <v>1.7838246409675</v>
      </c>
      <c r="M100" s="7" t="str">
        <f aca="false">IF(K100&lt;I100,"CRITICAL - Below ROP",IF(K100&lt;I100*(1+05_Assumptions!$D$32),"WATCH - Near ROP","OK"))</f>
        <v>CRITICAL - Below ROP</v>
      </c>
      <c r="N100" s="7" t="str">
        <f aca="false">IF(L100&gt;05_Assumptions!$D$31,"OVERSTOCK RISK","OK")</f>
        <v>OK</v>
      </c>
      <c r="O100" s="7" t="str">
        <f aca="false">IF(K100&lt;I100,"REORDER NOW",IF(L100&gt;05_Assumptions!$D$31,"REDUCE / HOLD ORDERS","MONITOR"))</f>
        <v>REORDER NOW</v>
      </c>
    </row>
    <row r="101" customFormat="false" ht="15" hidden="false" customHeight="false" outlineLevel="0" collapsed="false">
      <c r="A101" s="7" t="str">
        <f aca="false">02_SKU_Master!A101</f>
        <v>S004-P0007</v>
      </c>
      <c r="B101" s="7" t="str">
        <f aca="false">02_SKU_Master!D101</f>
        <v>Groceries</v>
      </c>
      <c r="C101" s="19" t="n">
        <f aca="false">02_SKU_Master!F101</f>
        <v>130.4</v>
      </c>
      <c r="D101" s="19" t="n">
        <f aca="false">02_SKU_Master!G101</f>
        <v>105.8</v>
      </c>
      <c r="E101" s="20" t="n">
        <f aca="false">02_SKU_Master!E101</f>
        <v>54.06</v>
      </c>
      <c r="F101" s="7" t="n">
        <f aca="false">IFERROR(INDEX(05_Assumptions!$C$18:$C$22,MATCH(B101,05_Assumptions!$B$18:$B$22,0)),10)</f>
        <v>3</v>
      </c>
      <c r="G101" s="19" t="n">
        <f aca="false">C101*F101</f>
        <v>391.2</v>
      </c>
      <c r="H101" s="19" t="n">
        <f aca="false">05_Assumptions!$D$13*D101*SQRT(F101)</f>
        <v>301.429529502551</v>
      </c>
      <c r="I101" s="19" t="n">
        <f aca="false">G101+H101</f>
        <v>692.629529502551</v>
      </c>
      <c r="J101" s="19" t="n">
        <f aca="false">IFERROR(SQRT(2*(C101*365)*05_Assumptions!$D$26/(05_Assumptions!$D$27*E101)),0)</f>
        <v>663.486681401064</v>
      </c>
      <c r="K101" s="19" t="n">
        <f aca="false">02_SKU_Master!K101</f>
        <v>134</v>
      </c>
      <c r="L101" s="19" t="n">
        <f aca="false">IFERROR(K101/C101,0)</f>
        <v>1.02760736196319</v>
      </c>
      <c r="M101" s="7" t="str">
        <f aca="false">IF(K101&lt;I101,"CRITICAL - Below ROP",IF(K101&lt;I101*(1+05_Assumptions!$D$32),"WATCH - Near ROP","OK"))</f>
        <v>CRITICAL - Below ROP</v>
      </c>
      <c r="N101" s="7" t="str">
        <f aca="false">IF(L101&gt;05_Assumptions!$D$31,"OVERSTOCK RISK","OK")</f>
        <v>OK</v>
      </c>
      <c r="O101" s="7" t="str">
        <f aca="false">IF(K101&lt;I101,"REORDER NOW",IF(L101&gt;05_Assumptions!$D$31,"REDUCE / HOLD ORDERS","MONITOR"))</f>
        <v>REORDER NOW</v>
      </c>
    </row>
    <row r="102" customFormat="false" ht="15" hidden="false" customHeight="false" outlineLevel="0" collapsed="false">
      <c r="A102" s="7" t="str">
        <f aca="false">02_SKU_Master!A102</f>
        <v>S004-P0018</v>
      </c>
      <c r="B102" s="7" t="str">
        <f aca="false">02_SKU_Master!D102</f>
        <v>Electronics</v>
      </c>
      <c r="C102" s="19" t="n">
        <f aca="false">02_SKU_Master!F102</f>
        <v>128.6</v>
      </c>
      <c r="D102" s="19" t="n">
        <f aca="false">02_SKU_Master!G102</f>
        <v>103.7</v>
      </c>
      <c r="E102" s="20" t="n">
        <f aca="false">02_SKU_Master!E102</f>
        <v>54.6</v>
      </c>
      <c r="F102" s="7" t="n">
        <f aca="false">IFERROR(INDEX(05_Assumptions!$C$18:$C$22,MATCH(B102,05_Assumptions!$B$18:$B$22,0)),10)</f>
        <v>10</v>
      </c>
      <c r="G102" s="19" t="n">
        <f aca="false">C102*F102</f>
        <v>1286</v>
      </c>
      <c r="H102" s="19" t="n">
        <f aca="false">05_Assumptions!$D$13*D102*SQRT(F102)</f>
        <v>539.409085256977</v>
      </c>
      <c r="I102" s="19" t="n">
        <f aca="false">G102+H102</f>
        <v>1825.40908525698</v>
      </c>
      <c r="J102" s="19" t="n">
        <f aca="false">IFERROR(SQRT(2*(C102*365)*05_Assumptions!$D$26/(05_Assumptions!$D$27*E102)),0)</f>
        <v>655.625138584788</v>
      </c>
      <c r="K102" s="19" t="n">
        <f aca="false">02_SKU_Master!K102</f>
        <v>83</v>
      </c>
      <c r="L102" s="19" t="n">
        <f aca="false">IFERROR(K102/C102,0)</f>
        <v>0.645412130637636</v>
      </c>
      <c r="M102" s="7" t="str">
        <f aca="false">IF(K102&lt;I102,"CRITICAL - Below ROP",IF(K102&lt;I102*(1+05_Assumptions!$D$32),"WATCH - Near ROP","OK"))</f>
        <v>CRITICAL - Below ROP</v>
      </c>
      <c r="N102" s="7" t="str">
        <f aca="false">IF(L102&gt;05_Assumptions!$D$31,"OVERSTOCK RISK","OK")</f>
        <v>OK</v>
      </c>
      <c r="O102" s="7" t="str">
        <f aca="false">IF(K102&lt;I102,"REORDER NOW",IF(L102&gt;05_Assumptions!$D$31,"REDUCE / HOLD ORDERS","MONITOR"))</f>
        <v>REORDER NOW</v>
      </c>
    </row>
    <row r="103" customFormat="false" ht="15" hidden="false" customHeight="false" outlineLevel="0" collapsed="false">
      <c r="A103" s="7" t="str">
        <f aca="false">02_SKU_Master!A103</f>
        <v>S003-P0003</v>
      </c>
      <c r="B103" s="7" t="str">
        <f aca="false">02_SKU_Master!D103</f>
        <v>Groceries</v>
      </c>
      <c r="C103" s="19" t="n">
        <f aca="false">02_SKU_Master!F103</f>
        <v>126.6</v>
      </c>
      <c r="D103" s="19" t="n">
        <f aca="false">02_SKU_Master!G103</f>
        <v>102.9</v>
      </c>
      <c r="E103" s="20" t="n">
        <f aca="false">02_SKU_Master!E103</f>
        <v>55.43</v>
      </c>
      <c r="F103" s="7" t="n">
        <f aca="false">IFERROR(INDEX(05_Assumptions!$C$18:$C$22,MATCH(B103,05_Assumptions!$B$18:$B$22,0)),10)</f>
        <v>3</v>
      </c>
      <c r="G103" s="19" t="n">
        <f aca="false">C103*F103</f>
        <v>379.8</v>
      </c>
      <c r="H103" s="19" t="n">
        <f aca="false">05_Assumptions!$D$13*D103*SQRT(F103)</f>
        <v>293.167283419778</v>
      </c>
      <c r="I103" s="19" t="n">
        <f aca="false">G103+H103</f>
        <v>672.967283419778</v>
      </c>
      <c r="J103" s="19" t="n">
        <f aca="false">IFERROR(SQRT(2*(C103*365)*05_Assumptions!$D$26/(05_Assumptions!$D$27*E103)),0)</f>
        <v>645.618323799176</v>
      </c>
      <c r="K103" s="19" t="n">
        <f aca="false">02_SKU_Master!K103</f>
        <v>112</v>
      </c>
      <c r="L103" s="19" t="n">
        <f aca="false">IFERROR(K103/C103,0)</f>
        <v>0.884676145339652</v>
      </c>
      <c r="M103" s="7" t="str">
        <f aca="false">IF(K103&lt;I103,"CRITICAL - Below ROP",IF(K103&lt;I103*(1+05_Assumptions!$D$32),"WATCH - Near ROP","OK"))</f>
        <v>CRITICAL - Below ROP</v>
      </c>
      <c r="N103" s="7" t="str">
        <f aca="false">IF(L103&gt;05_Assumptions!$D$31,"OVERSTOCK RISK","OK")</f>
        <v>OK</v>
      </c>
      <c r="O103" s="7" t="str">
        <f aca="false">IF(K103&lt;I103,"REORDER NOW",IF(L103&gt;05_Assumptions!$D$31,"REDUCE / HOLD ORDERS","MONITOR"))</f>
        <v>REORDER NOW</v>
      </c>
    </row>
    <row r="104" customFormat="false" ht="15" hidden="false" customHeight="false" outlineLevel="0" collapsed="false">
      <c r="A104" s="7" t="str">
        <f aca="false">02_SKU_Master!A104</f>
        <v>S005-P0001</v>
      </c>
      <c r="B104" s="7" t="str">
        <f aca="false">02_SKU_Master!D104</f>
        <v>Toys</v>
      </c>
      <c r="C104" s="19" t="n">
        <f aca="false">02_SKU_Master!F104</f>
        <v>131.1</v>
      </c>
      <c r="D104" s="19" t="n">
        <f aca="false">02_SKU_Master!G104</f>
        <v>106.9</v>
      </c>
      <c r="E104" s="20" t="n">
        <f aca="false">02_SKU_Master!E104</f>
        <v>53.21</v>
      </c>
      <c r="F104" s="7" t="n">
        <f aca="false">IFERROR(INDEX(05_Assumptions!$C$18:$C$22,MATCH(B104,05_Assumptions!$B$18:$B$22,0)),10)</f>
        <v>8</v>
      </c>
      <c r="G104" s="19" t="n">
        <f aca="false">C104*F104</f>
        <v>1048.8</v>
      </c>
      <c r="H104" s="19" t="n">
        <f aca="false">05_Assumptions!$D$13*D104*SQRT(F104)</f>
        <v>497.350088214216</v>
      </c>
      <c r="I104" s="19" t="n">
        <f aca="false">G104+H104</f>
        <v>1546.15008821422</v>
      </c>
      <c r="J104" s="19" t="n">
        <f aca="false">IFERROR(SQRT(2*(C104*365)*05_Assumptions!$D$26/(05_Assumptions!$D$27*E104)),0)</f>
        <v>670.557695226388</v>
      </c>
      <c r="K104" s="19" t="n">
        <f aca="false">02_SKU_Master!K104</f>
        <v>300</v>
      </c>
      <c r="L104" s="19" t="n">
        <f aca="false">IFERROR(K104/C104,0)</f>
        <v>2.2883295194508</v>
      </c>
      <c r="M104" s="7" t="str">
        <f aca="false">IF(K104&lt;I104,"CRITICAL - Below ROP",IF(K104&lt;I104*(1+05_Assumptions!$D$32),"WATCH - Near ROP","OK"))</f>
        <v>CRITICAL - Below ROP</v>
      </c>
      <c r="N104" s="7" t="str">
        <f aca="false">IF(L104&gt;05_Assumptions!$D$31,"OVERSTOCK RISK","OK")</f>
        <v>OK</v>
      </c>
      <c r="O104" s="7" t="str">
        <f aca="false">IF(K104&lt;I104,"REORDER NOW",IF(L104&gt;05_Assumptions!$D$31,"REDUCE / HOLD ORDERS","MONITOR"))</f>
        <v>REORDER NOW</v>
      </c>
    </row>
    <row r="105" customFormat="false" ht="15" hidden="false" customHeight="false" outlineLevel="0" collapsed="false">
      <c r="A105" s="7" t="str">
        <f aca="false">02_SKU_Master!A105</f>
        <v>S001-P0012</v>
      </c>
      <c r="B105" s="7" t="str">
        <f aca="false">02_SKU_Master!D105</f>
        <v>Furniture</v>
      </c>
      <c r="C105" s="19" t="n">
        <f aca="false">02_SKU_Master!F105</f>
        <v>128.4</v>
      </c>
      <c r="D105" s="19" t="n">
        <f aca="false">02_SKU_Master!G105</f>
        <v>102.2</v>
      </c>
      <c r="E105" s="20" t="n">
        <f aca="false">02_SKU_Master!E105</f>
        <v>54.04</v>
      </c>
      <c r="F105" s="7" t="n">
        <f aca="false">IFERROR(INDEX(05_Assumptions!$C$18:$C$22,MATCH(B105,05_Assumptions!$B$18:$B$22,0)),10)</f>
        <v>15</v>
      </c>
      <c r="G105" s="19" t="n">
        <f aca="false">C105*F105</f>
        <v>1926</v>
      </c>
      <c r="H105" s="19" t="n">
        <f aca="false">05_Assumptions!$D$13*D105*SQRT(F105)</f>
        <v>651.082505291246</v>
      </c>
      <c r="I105" s="19" t="n">
        <f aca="false">G105+H105</f>
        <v>2577.08250529125</v>
      </c>
      <c r="J105" s="19" t="n">
        <f aca="false">IFERROR(SQRT(2*(C105*365)*05_Assumptions!$D$26/(05_Assumptions!$D$27*E105)),0)</f>
        <v>658.500753259198</v>
      </c>
      <c r="K105" s="19" t="n">
        <f aca="false">02_SKU_Master!K105</f>
        <v>213</v>
      </c>
      <c r="L105" s="19" t="n">
        <f aca="false">IFERROR(K105/C105,0)</f>
        <v>1.6588785046729</v>
      </c>
      <c r="M105" s="7" t="str">
        <f aca="false">IF(K105&lt;I105,"CRITICAL - Below ROP",IF(K105&lt;I105*(1+05_Assumptions!$D$32),"WATCH - Near ROP","OK"))</f>
        <v>CRITICAL - Below ROP</v>
      </c>
      <c r="N105" s="7" t="str">
        <f aca="false">IF(L105&gt;05_Assumptions!$D$31,"OVERSTOCK RISK","OK")</f>
        <v>OK</v>
      </c>
      <c r="O105" s="7" t="str">
        <f aca="false">IF(K105&lt;I105,"REORDER NOW",IF(L105&gt;05_Assumptions!$D$31,"REDUCE / HOLD ORDERS","MONITOR"))</f>
        <v>REORDER NOW</v>
      </c>
    </row>
  </sheetData>
  <conditionalFormatting sqref="M6:M105">
    <cfRule type="cellIs" priority="2" operator="equal" aboveAverage="0" equalAverage="0" bottom="0" percent="0" rank="0" text="" dxfId="0">
      <formula>"CRITICAL - Below ROP"</formula>
    </cfRule>
    <cfRule type="cellIs" priority="3" operator="equal" aboveAverage="0" equalAverage="0" bottom="0" percent="0" rank="0" text="" dxfId="1">
      <formula>"WATCH - Near ROP"</formula>
    </cfRule>
  </conditionalFormatting>
  <conditionalFormatting sqref="N6:N105">
    <cfRule type="cellIs" priority="4" operator="equal" aboveAverage="0" equalAverage="0" bottom="0" percent="0" rank="0" text="" dxfId="0">
      <formula>"OVERSTOCK RISK"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4" min="3" style="0" width="10"/>
    <col collapsed="false" customWidth="true" hidden="false" outlineLevel="0" max="5" min="5" style="0" width="24"/>
    <col collapsed="false" customWidth="true" hidden="false" outlineLevel="0" max="6" min="6" style="0" width="20"/>
  </cols>
  <sheetData>
    <row r="2" customFormat="false" ht="17.35" hidden="false" customHeight="false" outlineLevel="0" collapsed="false">
      <c r="B2" s="1" t="s">
        <v>301</v>
      </c>
    </row>
    <row r="3" customFormat="false" ht="15" hidden="false" customHeight="false" outlineLevel="0" collapsed="false">
      <c r="B3" s="2" t="s">
        <v>302</v>
      </c>
    </row>
    <row r="5" customFormat="false" ht="15" hidden="false" customHeight="false" outlineLevel="0" collapsed="false">
      <c r="B5" s="21" t="s">
        <v>303</v>
      </c>
    </row>
    <row r="6" customFormat="false" ht="15" hidden="false" customHeight="false" outlineLevel="0" collapsed="false">
      <c r="B6" s="3" t="s">
        <v>304</v>
      </c>
      <c r="D6" s="22" t="n">
        <v>100</v>
      </c>
    </row>
    <row r="7" customFormat="false" ht="15" hidden="false" customHeight="false" outlineLevel="0" collapsed="false">
      <c r="B7" s="3" t="s">
        <v>305</v>
      </c>
      <c r="D7" s="23" t="n">
        <f aca="false">SUMPRODUCT(02_SKU_Master!$F$6:$F$105,02_SKU_Master!$E$6:$E$105)</f>
        <v>752360.046</v>
      </c>
    </row>
    <row r="8" customFormat="false" ht="15" hidden="false" customHeight="false" outlineLevel="0" collapsed="false">
      <c r="B8" s="3" t="s">
        <v>306</v>
      </c>
      <c r="D8" s="22" t="n">
        <f aca="false">COUNTIF(06_Inventory_Planning!$M$6:$M$105,"CRITICAL - Below ROP")</f>
        <v>100</v>
      </c>
    </row>
    <row r="9" customFormat="false" ht="15" hidden="false" customHeight="false" outlineLevel="0" collapsed="false">
      <c r="B9" s="3" t="s">
        <v>307</v>
      </c>
      <c r="D9" s="22" t="n">
        <f aca="false">COUNTIF(06_Inventory_Planning!$M$6:$M$105,"WATCH - Near ROP")</f>
        <v>0</v>
      </c>
    </row>
    <row r="10" customFormat="false" ht="15" hidden="false" customHeight="false" outlineLevel="0" collapsed="false">
      <c r="B10" s="3" t="s">
        <v>308</v>
      </c>
      <c r="D10" s="22" t="n">
        <f aca="false">COUNTIF(06_Inventory_Planning!$N$6:$N$105,"OVERSTOCK RISK")</f>
        <v>0</v>
      </c>
    </row>
    <row r="11" customFormat="false" ht="15" hidden="false" customHeight="false" outlineLevel="0" collapsed="false">
      <c r="B11" s="3" t="s">
        <v>309</v>
      </c>
      <c r="D11" s="22" t="n">
        <f aca="false">COUNTIF(06_Inventory_Planning!$O$6:$O$105,"REORDER NOW")</f>
        <v>100</v>
      </c>
    </row>
    <row r="12" customFormat="false" ht="15" hidden="false" customHeight="false" outlineLevel="0" collapsed="false">
      <c r="B12" s="3" t="s">
        <v>310</v>
      </c>
      <c r="D12" s="24" t="n">
        <f aca="false">AVERAGE(06_Inventory_Planning!$L$6:$L$105)</f>
        <v>1.93996204305281</v>
      </c>
    </row>
    <row r="13" customFormat="false" ht="15" hidden="false" customHeight="false" outlineLevel="0" collapsed="false">
      <c r="B13" s="3" t="s">
        <v>311</v>
      </c>
      <c r="D13" s="22" t="s">
        <v>312</v>
      </c>
    </row>
    <row r="16" customFormat="false" ht="15" hidden="false" customHeight="false" outlineLevel="0" collapsed="false">
      <c r="B16" s="21" t="s">
        <v>313</v>
      </c>
    </row>
    <row r="17" customFormat="false" ht="15" hidden="false" customHeight="false" outlineLevel="0" collapsed="false">
      <c r="B17" s="6" t="s">
        <v>314</v>
      </c>
      <c r="C17" s="6" t="s">
        <v>231</v>
      </c>
      <c r="D17" s="6" t="s">
        <v>233</v>
      </c>
      <c r="E17" s="6" t="s">
        <v>235</v>
      </c>
    </row>
    <row r="18" customFormat="false" ht="15" hidden="false" customHeight="false" outlineLevel="0" collapsed="false">
      <c r="B18" s="14" t="s">
        <v>230</v>
      </c>
      <c r="C18" s="3" t="n">
        <f aca="false">COUNTIF(03_ABC_XYZ!$H$6:$H$105,"AX")</f>
        <v>31</v>
      </c>
      <c r="D18" s="3" t="n">
        <f aca="false">COUNTIF(03_ABC_XYZ!$H$6:$H$105,"AY")</f>
        <v>22</v>
      </c>
      <c r="E18" s="3" t="n">
        <f aca="false">COUNTIF(03_ABC_XYZ!$H$6:$H$105,"AZ")</f>
        <v>15</v>
      </c>
    </row>
    <row r="19" customFormat="false" ht="15" hidden="false" customHeight="false" outlineLevel="0" collapsed="false">
      <c r="B19" s="14" t="s">
        <v>237</v>
      </c>
      <c r="C19" s="3" t="n">
        <f aca="false">COUNTIF(03_ABC_XYZ!$H$6:$H$105,"BX")</f>
        <v>3</v>
      </c>
      <c r="D19" s="3" t="n">
        <f aca="false">COUNTIF(03_ABC_XYZ!$H$6:$H$105,"BY")</f>
        <v>5</v>
      </c>
      <c r="E19" s="3" t="n">
        <f aca="false">COUNTIF(03_ABC_XYZ!$H$6:$H$105,"BZ")</f>
        <v>13</v>
      </c>
    </row>
    <row r="20" customFormat="false" ht="15" hidden="false" customHeight="false" outlineLevel="0" collapsed="false">
      <c r="B20" s="14" t="s">
        <v>238</v>
      </c>
      <c r="C20" s="3" t="n">
        <f aca="false">COUNTIF(03_ABC_XYZ!$H$6:$H$105,"CX")</f>
        <v>0</v>
      </c>
      <c r="D20" s="3" t="n">
        <f aca="false">COUNTIF(03_ABC_XYZ!$H$6:$H$105,"CY")</f>
        <v>6</v>
      </c>
      <c r="E20" s="3" t="n">
        <f aca="false">COUNTIF(03_ABC_XYZ!$H$6:$H$105,"CZ")</f>
        <v>5</v>
      </c>
    </row>
    <row r="23" customFormat="false" ht="15" hidden="false" customHeight="false" outlineLevel="0" collapsed="false">
      <c r="B23" s="21" t="s">
        <v>315</v>
      </c>
    </row>
    <row r="24" customFormat="false" ht="23.85" hidden="false" customHeight="false" outlineLevel="0" collapsed="false">
      <c r="B24" s="6" t="s">
        <v>81</v>
      </c>
      <c r="C24" s="6" t="s">
        <v>316</v>
      </c>
      <c r="D24" s="6" t="s">
        <v>317</v>
      </c>
      <c r="E24" s="6" t="s">
        <v>300</v>
      </c>
    </row>
    <row r="25" customFormat="false" ht="15" hidden="false" customHeight="false" outlineLevel="0" collapsed="false">
      <c r="B25" s="3" t="str">
        <f aca="false">02_SKU_Master!A6</f>
        <v>S005-P0015</v>
      </c>
      <c r="C25" s="25" t="n">
        <f aca="false">02_SKU_Master!L6</f>
        <v>3056460</v>
      </c>
      <c r="D25" s="3" t="str">
        <f aca="false">03_ABC_XYZ!H6</f>
        <v>AX</v>
      </c>
      <c r="E25" s="3" t="str">
        <f aca="false">06_Inventory_Planning!O6</f>
        <v>REORDER NOW</v>
      </c>
    </row>
    <row r="26" customFormat="false" ht="15" hidden="false" customHeight="false" outlineLevel="0" collapsed="false">
      <c r="B26" s="3" t="str">
        <f aca="false">02_SKU_Master!A7</f>
        <v>S003-P0013</v>
      </c>
      <c r="C26" s="25" t="n">
        <f aca="false">02_SKU_Master!L7</f>
        <v>3003091</v>
      </c>
      <c r="D26" s="3" t="str">
        <f aca="false">03_ABC_XYZ!H7</f>
        <v>AX</v>
      </c>
      <c r="E26" s="3" t="str">
        <f aca="false">06_Inventory_Planning!O7</f>
        <v>REORDER NOW</v>
      </c>
    </row>
    <row r="27" customFormat="false" ht="15" hidden="false" customHeight="false" outlineLevel="0" collapsed="false">
      <c r="B27" s="3" t="str">
        <f aca="false">02_SKU_Master!A8</f>
        <v>S002-P0020</v>
      </c>
      <c r="C27" s="25" t="n">
        <f aca="false">02_SKU_Master!L8</f>
        <v>2991361</v>
      </c>
      <c r="D27" s="3" t="str">
        <f aca="false">03_ABC_XYZ!H8</f>
        <v>AX</v>
      </c>
      <c r="E27" s="3" t="str">
        <f aca="false">06_Inventory_Planning!O8</f>
        <v>REORDER NOW</v>
      </c>
    </row>
    <row r="28" customFormat="false" ht="15" hidden="false" customHeight="false" outlineLevel="0" collapsed="false">
      <c r="B28" s="3" t="str">
        <f aca="false">02_SKU_Master!A9</f>
        <v>S003-P0014</v>
      </c>
      <c r="C28" s="25" t="n">
        <f aca="false">02_SKU_Master!L9</f>
        <v>2931012</v>
      </c>
      <c r="D28" s="3" t="str">
        <f aca="false">03_ABC_XYZ!H9</f>
        <v>AX</v>
      </c>
      <c r="E28" s="3" t="str">
        <f aca="false">06_Inventory_Planning!O9</f>
        <v>REORDER NOW</v>
      </c>
    </row>
    <row r="29" customFormat="false" ht="15" hidden="false" customHeight="false" outlineLevel="0" collapsed="false">
      <c r="B29" s="3" t="str">
        <f aca="false">02_SKU_Master!A10</f>
        <v>S002-P0009</v>
      </c>
      <c r="C29" s="25" t="n">
        <f aca="false">02_SKU_Master!L10</f>
        <v>2918882</v>
      </c>
      <c r="D29" s="3" t="str">
        <f aca="false">03_ABC_XYZ!H10</f>
        <v>AX</v>
      </c>
      <c r="E29" s="3" t="str">
        <f aca="false">06_Inventory_Planning!O10</f>
        <v>REORDER NOW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2026-08-11T20:21:43Z</dcterms:created>
  <dc:creator>openpyxl</dc:creator>
  <dc:description/>
  <dc:language>en-US</dc:language>
  <cp:lastModifiedBy/>
  <dcterms:modified xsi:type="dcterms:W3CDTF">2026-08-11T20:21:43Z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